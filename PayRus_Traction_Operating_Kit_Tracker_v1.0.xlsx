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spects" sheetId="2" state="visible" r:id="rId2"/>
    <sheet xmlns:r="http://schemas.openxmlformats.org/officeDocument/2006/relationships" name="Interviews" sheetId="3" state="visible" r:id="rId3"/>
    <sheet xmlns:r="http://schemas.openxmlformats.org/officeDocument/2006/relationships" name="RICE" sheetId="4" state="visible" r:id="rId4"/>
    <sheet xmlns:r="http://schemas.openxmlformats.org/officeDocument/2006/relationships" name="Content_90D" sheetId="5" state="visible" r:id="rId5"/>
    <sheet xmlns:r="http://schemas.openxmlformats.org/officeDocument/2006/relationships" name="Merchant_Pipeline" sheetId="6" state="visible" r:id="rId6"/>
    <sheet xmlns:r="http://schemas.openxmlformats.org/officeDocument/2006/relationships" name="Monthly_Report" sheetId="7" state="visible" r:id="rId7"/>
    <sheet xmlns:r="http://schemas.openxmlformats.org/officeDocument/2006/relationships" name="Lists" sheetId="8" state="visible" r:id="rId8"/>
  </sheets>
  <definedNames>
    <definedName name="_xlnm._FilterDatabase" localSheetId="0" hidden="1">'Dashboard'!$A$1:$J$9</definedName>
    <definedName name="_xlnm._FilterDatabase" localSheetId="1" hidden="1">'Prospects'!$A$1:$V$503</definedName>
    <definedName name="_xlnm._FilterDatabase" localSheetId="2" hidden="1">'Interviews'!$A$1:$N$3</definedName>
    <definedName name="_xlnm._FilterDatabase" localSheetId="3" hidden="1">'RICE'!$A$1:$J$49</definedName>
    <definedName name="_xlnm._FilterDatabase" localSheetId="4" hidden="1">'Content_90D'!$A$1:$L$42</definedName>
    <definedName name="_xlnm._FilterDatabase" localSheetId="5" hidden="1">'Merchant_Pipeline'!$A$1:$N$3</definedName>
    <definedName name="_xlnm._FilterDatabase" localSheetId="6" hidden="1">'Monthly_Report'!$A$1:$H$16</definedName>
    <definedName name="_xlnm._FilterDatabase" localSheetId="7" hidden="1">'Lists'!$A$1:$E$8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-mmm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  <color rgb="000B2F5B"/>
    </font>
  </fonts>
  <fills count="4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D49A00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5" customWidth="1" min="6" max="6"/>
    <col width="14" customWidth="1" min="7" max="7"/>
  </cols>
  <sheetData>
    <row r="1" ht="30" customHeight="1">
      <c r="A1" s="1" t="inlineStr">
        <is>
          <t>PayRus Traction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KPI</t>
        </is>
      </c>
      <c r="B3" s="3" t="inlineStr">
        <is>
          <t>Actual</t>
        </is>
      </c>
      <c r="C3" s="3" t="inlineStr">
        <is>
          <t>J+90 Target</t>
        </is>
      </c>
      <c r="D3" s="3" t="inlineStr">
        <is>
          <t>Progress</t>
        </is>
      </c>
      <c r="E3" s="3" t="n"/>
      <c r="F3" s="3" t="inlineStr">
        <is>
          <t>Funnel</t>
        </is>
      </c>
      <c r="G3" s="3" t="inlineStr">
        <is>
          <t>Rate</t>
        </is>
      </c>
      <c r="H3" s="3" t="n"/>
      <c r="I3" s="3" t="n"/>
      <c r="J3" s="3" t="n"/>
    </row>
    <row r="4">
      <c r="A4" s="2" t="inlineStr">
        <is>
          <t>Waitlist</t>
        </is>
      </c>
      <c r="B4" s="2">
        <f>COUNTIF(Prospects!$N:$N,"Waitlist")+COUNTIF(Prospects!$N:$N,"Qualified")+COUNTIF(Prospects!$N:$N,"Interviewed")+COUNTIF(Prospects!$N:$N,"Beta invited")+COUNTIF(Prospects!$N:$N,"Beta active")</f>
        <v/>
      </c>
      <c r="C4" s="2" t="n">
        <v>500</v>
      </c>
      <c r="D4" s="4">
        <f>IFERROR(B4/C4,0)</f>
        <v/>
      </c>
      <c r="E4" s="2" t="n"/>
      <c r="F4" s="2" t="inlineStr">
        <is>
          <t>Qualified / leads</t>
        </is>
      </c>
      <c r="G4" s="5">
        <f>IFERROR(COUNTIF(Prospects!$O:$O,"&gt;=15")/(COUNTA(Prospects!$A:$A)-1),0)</f>
        <v/>
      </c>
      <c r="H4" s="2" t="n"/>
      <c r="I4" s="2" t="n"/>
      <c r="J4" s="2" t="n"/>
    </row>
    <row r="5">
      <c r="A5" s="2" t="inlineStr">
        <is>
          <t>Interviews</t>
        </is>
      </c>
      <c r="B5" s="2">
        <f>COUNTIF(Prospects!$N:$N,"Interviewed")+COUNTIF(Prospects!$N:$N,"Beta invited")+COUNTIF(Prospects!$N:$N,"Beta active")</f>
        <v/>
      </c>
      <c r="C5" s="2" t="n">
        <v>50</v>
      </c>
      <c r="D5" s="4">
        <f>IFERROR(B5/C5,0)</f>
        <v/>
      </c>
      <c r="E5" s="2" t="n"/>
      <c r="F5" s="2" t="inlineStr">
        <is>
          <t>Interview / qualified</t>
        </is>
      </c>
      <c r="G5" s="5">
        <f>IFERROR(COUNTIF(Prospects!$N:$N,"Interviewed")/COUNTIF(Prospects!$O:$O,"&gt;=15"),0)</f>
        <v/>
      </c>
      <c r="H5" s="2" t="n"/>
      <c r="I5" s="2" t="n"/>
      <c r="J5" s="2" t="n"/>
    </row>
    <row r="6">
      <c r="A6" s="2" t="inlineStr">
        <is>
          <t>Beta qualified</t>
        </is>
      </c>
      <c r="B6" s="2">
        <f>COUNTIF(Prospects!$O:$O,"&gt;=15")</f>
        <v/>
      </c>
      <c r="C6" s="2" t="n">
        <v>60</v>
      </c>
      <c r="D6" s="4">
        <f>IFERROR(B6/C6,0)</f>
        <v/>
      </c>
      <c r="E6" s="2" t="n"/>
      <c r="F6" s="2" t="inlineStr">
        <is>
          <t>Beta active / qualified</t>
        </is>
      </c>
      <c r="G6" s="5">
        <f>IFERROR(COUNTIF(Prospects!$N:$N,"Beta active")/COUNTIF(Prospects!$O:$O,"&gt;=15"),0)</f>
        <v/>
      </c>
      <c r="H6" s="2" t="n"/>
      <c r="I6" s="2" t="n"/>
      <c r="J6" s="2" t="n"/>
    </row>
    <row r="7">
      <c r="A7" s="2" t="inlineStr">
        <is>
          <t>Beta active</t>
        </is>
      </c>
      <c r="B7" s="2">
        <f>COUNTIF(Prospects!$N:$N,"Beta active")</f>
        <v/>
      </c>
      <c r="C7" s="2" t="n">
        <v>40</v>
      </c>
      <c r="D7" s="4">
        <f>IFERROR(B7/C7,0)</f>
        <v/>
      </c>
      <c r="E7" s="2" t="n"/>
      <c r="F7" s="2" t="n"/>
      <c r="G7" s="2" t="n"/>
      <c r="H7" s="2" t="n"/>
      <c r="I7" s="2" t="n"/>
      <c r="J7" s="2" t="n"/>
    </row>
    <row r="8">
      <c r="A8" s="2" t="inlineStr">
        <is>
          <t>Merchant pilots</t>
        </is>
      </c>
      <c r="B8" s="2">
        <f>COUNTIF(Merchant_Pipeline!$J:$J,"Pilot")</f>
        <v/>
      </c>
      <c r="C8" s="2" t="n">
        <v>5</v>
      </c>
      <c r="D8" s="4">
        <f>IFERROR(B8/C8,0)</f>
        <v/>
      </c>
      <c r="E8" s="2" t="n"/>
      <c r="F8" s="2" t="n"/>
      <c r="G8" s="2" t="n"/>
      <c r="H8" s="2" t="n"/>
      <c r="I8" s="2" t="n"/>
      <c r="J8" s="2" t="n"/>
    </row>
    <row r="9">
      <c r="A9" s="2" t="inlineStr">
        <is>
          <t>LOI / commitments</t>
        </is>
      </c>
      <c r="B9" s="2">
        <f>COUNTIF(Merchant_Pipeline!$J:$J,"LOI")</f>
        <v/>
      </c>
      <c r="C9" s="2" t="n">
        <v>3</v>
      </c>
      <c r="D9" s="4">
        <f>IFERROR(B9/C9,0)</f>
        <v/>
      </c>
      <c r="E9" s="2" t="n"/>
      <c r="F9" s="2" t="n"/>
      <c r="G9" s="2" t="n"/>
      <c r="H9" s="2" t="n"/>
      <c r="I9" s="2" t="n"/>
      <c r="J9" s="2" t="n"/>
    </row>
  </sheetData>
  <autoFilter ref="A1:J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16" customWidth="1" min="5" max="5"/>
    <col width="20" customWidth="1" min="6" max="6"/>
    <col width="15" customWidth="1" min="7" max="7"/>
    <col width="14" customWidth="1" min="8" max="8"/>
    <col width="14" customWidth="1" min="9" max="9"/>
    <col width="24" customWidth="1" min="10" max="10"/>
    <col width="16" customWidth="1" min="15" max="15"/>
    <col width="20" customWidth="1" min="17" max="17"/>
    <col width="25" customWidth="1" min="20" max="20"/>
    <col width="16" customWidth="1" min="21" max="21"/>
    <col width="30" customWidth="1" min="22" max="22"/>
  </cols>
  <sheetData>
    <row r="1" ht="30" customHeight="1">
      <c r="A1" s="1" t="inlineStr">
        <is>
          <t>PayRus Prospects &amp; Beta CRM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6" t="inlineStr">
        <is>
          <t>Lead_ID</t>
        </is>
      </c>
      <c r="B3" s="6" t="inlineStr">
        <is>
          <t>Date</t>
        </is>
      </c>
      <c r="C3" s="6" t="inlineStr">
        <is>
          <t>Name</t>
        </is>
      </c>
      <c r="D3" s="6" t="inlineStr">
        <is>
          <t>Email</t>
        </is>
      </c>
      <c r="E3" s="6" t="inlineStr">
        <is>
          <t>Residence</t>
        </is>
      </c>
      <c r="F3" s="6" t="inlineStr">
        <is>
          <t>Corridor</t>
        </is>
      </c>
      <c r="G3" s="6" t="inlineStr">
        <is>
          <t>Segment</t>
        </is>
      </c>
      <c r="H3" s="6" t="inlineStr">
        <is>
          <t>Source</t>
        </is>
      </c>
      <c r="I3" s="6" t="inlineStr">
        <is>
          <t>Frequency</t>
        </is>
      </c>
      <c r="J3" s="6" t="inlineStr">
        <is>
          <t>Pain</t>
        </is>
      </c>
      <c r="K3" s="6" t="inlineStr">
        <is>
          <t>Pain_Score</t>
        </is>
      </c>
      <c r="L3" s="6" t="inlineStr">
        <is>
          <t>Cost_Score</t>
        </is>
      </c>
      <c r="M3" s="6" t="inlineStr">
        <is>
          <t>Test_Score</t>
        </is>
      </c>
      <c r="N3" s="6" t="inlineStr">
        <is>
          <t>Pay_Score</t>
        </is>
      </c>
      <c r="O3" s="6" t="inlineStr">
        <is>
          <t>Status</t>
        </is>
      </c>
      <c r="P3" s="6" t="inlineStr">
        <is>
          <t>Total_25</t>
        </is>
      </c>
      <c r="Q3" s="6" t="inlineStr">
        <is>
          <t>Classification</t>
        </is>
      </c>
      <c r="R3" s="6" t="inlineStr">
        <is>
          <t>Consent_Recontact</t>
        </is>
      </c>
      <c r="S3" s="6" t="inlineStr">
        <is>
          <t>Consent_Testimonial</t>
        </is>
      </c>
      <c r="T3" s="6" t="inlineStr">
        <is>
          <t>Next_Action</t>
        </is>
      </c>
      <c r="U3" s="6" t="inlineStr">
        <is>
          <t>Owner</t>
        </is>
      </c>
      <c r="V3" s="6" t="inlineStr">
        <is>
          <t>Notes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>
        <f>IF(I4="Weekly",5,IF(I4="Monthly",4,IF(I4="Quarterly",2,IF(I4="Occasional",1,0))))+K4+L4+M4+N4</f>
        <v/>
      </c>
      <c r="Q4" s="2">
        <f>IF(P4&gt;=20,"High-value beta",IF(P4&gt;=15,"Beta candidate",IF(P4&gt;=10,"Waitlist","Nurture")))</f>
        <v/>
      </c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>
        <f>IF(I5="Weekly",5,IF(I5="Monthly",4,IF(I5="Quarterly",2,IF(I5="Occasional",1,0))))+K5+L5+M5+N5</f>
        <v/>
      </c>
      <c r="Q5" s="2">
        <f>IF(P5&gt;=20,"High-value beta",IF(P5&gt;=15,"Beta candidate",IF(P5&gt;=10,"Waitlist","Nurture")))</f>
        <v/>
      </c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>
        <f>IF(I6="Weekly",5,IF(I6="Monthly",4,IF(I6="Quarterly",2,IF(I6="Occasional",1,0))))+K6+L6+M6+N6</f>
        <v/>
      </c>
      <c r="Q6" s="2">
        <f>IF(P6&gt;=20,"High-value beta",IF(P6&gt;=15,"Beta candidate",IF(P6&gt;=10,"Waitlist","Nurture")))</f>
        <v/>
      </c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>
        <f>IF(I7="Weekly",5,IF(I7="Monthly",4,IF(I7="Quarterly",2,IF(I7="Occasional",1,0))))+K7+L7+M7+N7</f>
        <v/>
      </c>
      <c r="Q7" s="2">
        <f>IF(P7&gt;=20,"High-value beta",IF(P7&gt;=15,"Beta candidate",IF(P7&gt;=10,"Waitlist","Nurture")))</f>
        <v/>
      </c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>
        <f>IF(I8="Weekly",5,IF(I8="Monthly",4,IF(I8="Quarterly",2,IF(I8="Occasional",1,0))))+K8+L8+M8+N8</f>
        <v/>
      </c>
      <c r="Q8" s="2">
        <f>IF(P8&gt;=20,"High-value beta",IF(P8&gt;=15,"Beta candidate",IF(P8&gt;=10,"Waitlist","Nurture")))</f>
        <v/>
      </c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>
        <f>IF(I9="Weekly",5,IF(I9="Monthly",4,IF(I9="Quarterly",2,IF(I9="Occasional",1,0))))+K9+L9+M9+N9</f>
        <v/>
      </c>
      <c r="Q9" s="2">
        <f>IF(P9&gt;=20,"High-value beta",IF(P9&gt;=15,"Beta candidate",IF(P9&gt;=10,"Waitlist","Nurture")))</f>
        <v/>
      </c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>
        <f>IF(I10="Weekly",5,IF(I10="Monthly",4,IF(I10="Quarterly",2,IF(I10="Occasional",1,0))))+K10+L10+M10+N10</f>
        <v/>
      </c>
      <c r="Q10" s="2">
        <f>IF(P10&gt;=20,"High-value beta",IF(P10&gt;=15,"Beta candidate",IF(P10&gt;=10,"Waitlist","Nurture")))</f>
        <v/>
      </c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>
        <f>IF(I11="Weekly",5,IF(I11="Monthly",4,IF(I11="Quarterly",2,IF(I11="Occasional",1,0))))+K11+L11+M11+N11</f>
        <v/>
      </c>
      <c r="Q11" s="2">
        <f>IF(P11&gt;=20,"High-value beta",IF(P11&gt;=15,"Beta candidate",IF(P11&gt;=10,"Waitlist","Nurture")))</f>
        <v/>
      </c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>
        <f>IF(I12="Weekly",5,IF(I12="Monthly",4,IF(I12="Quarterly",2,IF(I12="Occasional",1,0))))+K12+L12+M12+N12</f>
        <v/>
      </c>
      <c r="Q12" s="2">
        <f>IF(P12&gt;=20,"High-value beta",IF(P12&gt;=15,"Beta candidate",IF(P12&gt;=10,"Waitlist","Nurture")))</f>
        <v/>
      </c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>
        <f>IF(I13="Weekly",5,IF(I13="Monthly",4,IF(I13="Quarterly",2,IF(I13="Occasional",1,0))))+K13+L13+M13+N13</f>
        <v/>
      </c>
      <c r="Q13" s="2">
        <f>IF(P13&gt;=20,"High-value beta",IF(P13&gt;=15,"Beta candidate",IF(P13&gt;=10,"Waitlist","Nurture")))</f>
        <v/>
      </c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>
        <f>IF(I14="Weekly",5,IF(I14="Monthly",4,IF(I14="Quarterly",2,IF(I14="Occasional",1,0))))+K14+L14+M14+N14</f>
        <v/>
      </c>
      <c r="Q14" s="2">
        <f>IF(P14&gt;=20,"High-value beta",IF(P14&gt;=15,"Beta candidate",IF(P14&gt;=10,"Waitlist","Nurture")))</f>
        <v/>
      </c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>
        <f>IF(I15="Weekly",5,IF(I15="Monthly",4,IF(I15="Quarterly",2,IF(I15="Occasional",1,0))))+K15+L15+M15+N15</f>
        <v/>
      </c>
      <c r="Q15" s="2">
        <f>IF(P15&gt;=20,"High-value beta",IF(P15&gt;=15,"Beta candidate",IF(P15&gt;=10,"Waitlist","Nurture")))</f>
        <v/>
      </c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>
        <f>IF(I16="Weekly",5,IF(I16="Monthly",4,IF(I16="Quarterly",2,IF(I16="Occasional",1,0))))+K16+L16+M16+N16</f>
        <v/>
      </c>
      <c r="Q16" s="2">
        <f>IF(P16&gt;=20,"High-value beta",IF(P16&gt;=15,"Beta candidate",IF(P16&gt;=10,"Waitlist","Nurture")))</f>
        <v/>
      </c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>
        <f>IF(I17="Weekly",5,IF(I17="Monthly",4,IF(I17="Quarterly",2,IF(I17="Occasional",1,0))))+K17+L17+M17+N17</f>
        <v/>
      </c>
      <c r="Q17" s="2">
        <f>IF(P17&gt;=20,"High-value beta",IF(P17&gt;=15,"Beta candidate",IF(P17&gt;=10,"Waitlist","Nurture")))</f>
        <v/>
      </c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>
        <f>IF(I18="Weekly",5,IF(I18="Monthly",4,IF(I18="Quarterly",2,IF(I18="Occasional",1,0))))+K18+L18+M18+N18</f>
        <v/>
      </c>
      <c r="Q18" s="2">
        <f>IF(P18&gt;=20,"High-value beta",IF(P18&gt;=15,"Beta candidate",IF(P18&gt;=10,"Waitlist","Nurture")))</f>
        <v/>
      </c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>
        <f>IF(I19="Weekly",5,IF(I19="Monthly",4,IF(I19="Quarterly",2,IF(I19="Occasional",1,0))))+K19+L19+M19+N19</f>
        <v/>
      </c>
      <c r="Q19" s="2">
        <f>IF(P19&gt;=20,"High-value beta",IF(P19&gt;=15,"Beta candidate",IF(P19&gt;=10,"Waitlist","Nurture")))</f>
        <v/>
      </c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>
        <f>IF(I20="Weekly",5,IF(I20="Monthly",4,IF(I20="Quarterly",2,IF(I20="Occasional",1,0))))+K20+L20+M20+N20</f>
        <v/>
      </c>
      <c r="Q20" s="2">
        <f>IF(P20&gt;=20,"High-value beta",IF(P20&gt;=15,"Beta candidate",IF(P20&gt;=10,"Waitlist","Nurture")))</f>
        <v/>
      </c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>
        <f>IF(I21="Weekly",5,IF(I21="Monthly",4,IF(I21="Quarterly",2,IF(I21="Occasional",1,0))))+K21+L21+M21+N21</f>
        <v/>
      </c>
      <c r="Q21" s="2">
        <f>IF(P21&gt;=20,"High-value beta",IF(P21&gt;=15,"Beta candidate",IF(P21&gt;=10,"Waitlist","Nurture")))</f>
        <v/>
      </c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>
        <f>IF(I22="Weekly",5,IF(I22="Monthly",4,IF(I22="Quarterly",2,IF(I22="Occasional",1,0))))+K22+L22+M22+N22</f>
        <v/>
      </c>
      <c r="Q22" s="2">
        <f>IF(P22&gt;=20,"High-value beta",IF(P22&gt;=15,"Beta candidate",IF(P22&gt;=10,"Waitlist","Nurture")))</f>
        <v/>
      </c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>
        <f>IF(I23="Weekly",5,IF(I23="Monthly",4,IF(I23="Quarterly",2,IF(I23="Occasional",1,0))))+K23+L23+M23+N23</f>
        <v/>
      </c>
      <c r="Q23" s="2">
        <f>IF(P23&gt;=20,"High-value beta",IF(P23&gt;=15,"Beta candidate",IF(P23&gt;=10,"Waitlist","Nurture")))</f>
        <v/>
      </c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>
        <f>IF(I24="Weekly",5,IF(I24="Monthly",4,IF(I24="Quarterly",2,IF(I24="Occasional",1,0))))+K24+L24+M24+N24</f>
        <v/>
      </c>
      <c r="Q24" s="2">
        <f>IF(P24&gt;=20,"High-value beta",IF(P24&gt;=15,"Beta candidate",IF(P24&gt;=10,"Waitlist","Nurture")))</f>
        <v/>
      </c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>
        <f>IF(I25="Weekly",5,IF(I25="Monthly",4,IF(I25="Quarterly",2,IF(I25="Occasional",1,0))))+K25+L25+M25+N25</f>
        <v/>
      </c>
      <c r="Q25" s="2">
        <f>IF(P25&gt;=20,"High-value beta",IF(P25&gt;=15,"Beta candidate",IF(P25&gt;=10,"Waitlist","Nurture")))</f>
        <v/>
      </c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>
        <f>IF(I26="Weekly",5,IF(I26="Monthly",4,IF(I26="Quarterly",2,IF(I26="Occasional",1,0))))+K26+L26+M26+N26</f>
        <v/>
      </c>
      <c r="Q26" s="2">
        <f>IF(P26&gt;=20,"High-value beta",IF(P26&gt;=15,"Beta candidate",IF(P26&gt;=10,"Waitlist","Nurture")))</f>
        <v/>
      </c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>
        <f>IF(I27="Weekly",5,IF(I27="Monthly",4,IF(I27="Quarterly",2,IF(I27="Occasional",1,0))))+K27+L27+M27+N27</f>
        <v/>
      </c>
      <c r="Q27" s="2">
        <f>IF(P27&gt;=20,"High-value beta",IF(P27&gt;=15,"Beta candidate",IF(P27&gt;=10,"Waitlist","Nurture")))</f>
        <v/>
      </c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>
        <f>IF(I28="Weekly",5,IF(I28="Monthly",4,IF(I28="Quarterly",2,IF(I28="Occasional",1,0))))+K28+L28+M28+N28</f>
        <v/>
      </c>
      <c r="Q28" s="2">
        <f>IF(P28&gt;=20,"High-value beta",IF(P28&gt;=15,"Beta candidate",IF(P28&gt;=10,"Waitlist","Nurture")))</f>
        <v/>
      </c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>
        <f>IF(I29="Weekly",5,IF(I29="Monthly",4,IF(I29="Quarterly",2,IF(I29="Occasional",1,0))))+K29+L29+M29+N29</f>
        <v/>
      </c>
      <c r="Q29" s="2">
        <f>IF(P29&gt;=20,"High-value beta",IF(P29&gt;=15,"Beta candidate",IF(P29&gt;=10,"Waitlist","Nurture")))</f>
        <v/>
      </c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>
        <f>IF(I30="Weekly",5,IF(I30="Monthly",4,IF(I30="Quarterly",2,IF(I30="Occasional",1,0))))+K30+L30+M30+N30</f>
        <v/>
      </c>
      <c r="Q30" s="2">
        <f>IF(P30&gt;=20,"High-value beta",IF(P30&gt;=15,"Beta candidate",IF(P30&gt;=10,"Waitlist","Nurture")))</f>
        <v/>
      </c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>
        <f>IF(I31="Weekly",5,IF(I31="Monthly",4,IF(I31="Quarterly",2,IF(I31="Occasional",1,0))))+K31+L31+M31+N31</f>
        <v/>
      </c>
      <c r="Q31" s="2">
        <f>IF(P31&gt;=20,"High-value beta",IF(P31&gt;=15,"Beta candidate",IF(P31&gt;=10,"Waitlist","Nurture")))</f>
        <v/>
      </c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>
        <f>IF(I32="Weekly",5,IF(I32="Monthly",4,IF(I32="Quarterly",2,IF(I32="Occasional",1,0))))+K32+L32+M32+N32</f>
        <v/>
      </c>
      <c r="Q32" s="2">
        <f>IF(P32&gt;=20,"High-value beta",IF(P32&gt;=15,"Beta candidate",IF(P32&gt;=10,"Waitlist","Nurture")))</f>
        <v/>
      </c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>
        <f>IF(I33="Weekly",5,IF(I33="Monthly",4,IF(I33="Quarterly",2,IF(I33="Occasional",1,0))))+K33+L33+M33+N33</f>
        <v/>
      </c>
      <c r="Q33" s="2">
        <f>IF(P33&gt;=20,"High-value beta",IF(P33&gt;=15,"Beta candidate",IF(P33&gt;=10,"Waitlist","Nurture")))</f>
        <v/>
      </c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>
        <f>IF(I34="Weekly",5,IF(I34="Monthly",4,IF(I34="Quarterly",2,IF(I34="Occasional",1,0))))+K34+L34+M34+N34</f>
        <v/>
      </c>
      <c r="Q34" s="2">
        <f>IF(P34&gt;=20,"High-value beta",IF(P34&gt;=15,"Beta candidate",IF(P34&gt;=10,"Waitlist","Nurture")))</f>
        <v/>
      </c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>
        <f>IF(I35="Weekly",5,IF(I35="Monthly",4,IF(I35="Quarterly",2,IF(I35="Occasional",1,0))))+K35+L35+M35+N35</f>
        <v/>
      </c>
      <c r="Q35" s="2">
        <f>IF(P35&gt;=20,"High-value beta",IF(P35&gt;=15,"Beta candidate",IF(P35&gt;=10,"Waitlist","Nurture")))</f>
        <v/>
      </c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>
        <f>IF(I36="Weekly",5,IF(I36="Monthly",4,IF(I36="Quarterly",2,IF(I36="Occasional",1,0))))+K36+L36+M36+N36</f>
        <v/>
      </c>
      <c r="Q36" s="2">
        <f>IF(P36&gt;=20,"High-value beta",IF(P36&gt;=15,"Beta candidate",IF(P36&gt;=10,"Waitlist","Nurture")))</f>
        <v/>
      </c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>
        <f>IF(I37="Weekly",5,IF(I37="Monthly",4,IF(I37="Quarterly",2,IF(I37="Occasional",1,0))))+K37+L37+M37+N37</f>
        <v/>
      </c>
      <c r="Q37" s="2">
        <f>IF(P37&gt;=20,"High-value beta",IF(P37&gt;=15,"Beta candidate",IF(P37&gt;=10,"Waitlist","Nurture")))</f>
        <v/>
      </c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>
        <f>IF(I38="Weekly",5,IF(I38="Monthly",4,IF(I38="Quarterly",2,IF(I38="Occasional",1,0))))+K38+L38+M38+N38</f>
        <v/>
      </c>
      <c r="Q38" s="2">
        <f>IF(P38&gt;=20,"High-value beta",IF(P38&gt;=15,"Beta candidate",IF(P38&gt;=10,"Waitlist","Nurture")))</f>
        <v/>
      </c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>
        <f>IF(I39="Weekly",5,IF(I39="Monthly",4,IF(I39="Quarterly",2,IF(I39="Occasional",1,0))))+K39+L39+M39+N39</f>
        <v/>
      </c>
      <c r="Q39" s="2">
        <f>IF(P39&gt;=20,"High-value beta",IF(P39&gt;=15,"Beta candidate",IF(P39&gt;=10,"Waitlist","Nurture")))</f>
        <v/>
      </c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>
        <f>IF(I40="Weekly",5,IF(I40="Monthly",4,IF(I40="Quarterly",2,IF(I40="Occasional",1,0))))+K40+L40+M40+N40</f>
        <v/>
      </c>
      <c r="Q40" s="2">
        <f>IF(P40&gt;=20,"High-value beta",IF(P40&gt;=15,"Beta candidate",IF(P40&gt;=10,"Waitlist","Nurture")))</f>
        <v/>
      </c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>
        <f>IF(I41="Weekly",5,IF(I41="Monthly",4,IF(I41="Quarterly",2,IF(I41="Occasional",1,0))))+K41+L41+M41+N41</f>
        <v/>
      </c>
      <c r="Q41" s="2">
        <f>IF(P41&gt;=20,"High-value beta",IF(P41&gt;=15,"Beta candidate",IF(P41&gt;=10,"Waitlist","Nurture")))</f>
        <v/>
      </c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>
        <f>IF(I42="Weekly",5,IF(I42="Monthly",4,IF(I42="Quarterly",2,IF(I42="Occasional",1,0))))+K42+L42+M42+N42</f>
        <v/>
      </c>
      <c r="Q42" s="2">
        <f>IF(P42&gt;=20,"High-value beta",IF(P42&gt;=15,"Beta candidate",IF(P42&gt;=10,"Waitlist","Nurture")))</f>
        <v/>
      </c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>
        <f>IF(I43="Weekly",5,IF(I43="Monthly",4,IF(I43="Quarterly",2,IF(I43="Occasional",1,0))))+K43+L43+M43+N43</f>
        <v/>
      </c>
      <c r="Q43" s="2">
        <f>IF(P43&gt;=20,"High-value beta",IF(P43&gt;=15,"Beta candidate",IF(P43&gt;=10,"Waitlist","Nurture")))</f>
        <v/>
      </c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>
        <f>IF(I44="Weekly",5,IF(I44="Monthly",4,IF(I44="Quarterly",2,IF(I44="Occasional",1,0))))+K44+L44+M44+N44</f>
        <v/>
      </c>
      <c r="Q44" s="2">
        <f>IF(P44&gt;=20,"High-value beta",IF(P44&gt;=15,"Beta candidate",IF(P44&gt;=10,"Waitlist","Nurture")))</f>
        <v/>
      </c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>
        <f>IF(I45="Weekly",5,IF(I45="Monthly",4,IF(I45="Quarterly",2,IF(I45="Occasional",1,0))))+K45+L45+M45+N45</f>
        <v/>
      </c>
      <c r="Q45" s="2">
        <f>IF(P45&gt;=20,"High-value beta",IF(P45&gt;=15,"Beta candidate",IF(P45&gt;=10,"Waitlist","Nurture")))</f>
        <v/>
      </c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>
        <f>IF(I46="Weekly",5,IF(I46="Monthly",4,IF(I46="Quarterly",2,IF(I46="Occasional",1,0))))+K46+L46+M46+N46</f>
        <v/>
      </c>
      <c r="Q46" s="2">
        <f>IF(P46&gt;=20,"High-value beta",IF(P46&gt;=15,"Beta candidate",IF(P46&gt;=10,"Waitlist","Nurture")))</f>
        <v/>
      </c>
      <c r="R46" s="2" t="n"/>
      <c r="S46" s="2" t="n"/>
      <c r="T46" s="2" t="n"/>
      <c r="U46" s="2" t="n"/>
      <c r="V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>
        <f>IF(I47="Weekly",5,IF(I47="Monthly",4,IF(I47="Quarterly",2,IF(I47="Occasional",1,0))))+K47+L47+M47+N47</f>
        <v/>
      </c>
      <c r="Q47" s="2">
        <f>IF(P47&gt;=20,"High-value beta",IF(P47&gt;=15,"Beta candidate",IF(P47&gt;=10,"Waitlist","Nurture")))</f>
        <v/>
      </c>
      <c r="R47" s="2" t="n"/>
      <c r="S47" s="2" t="n"/>
      <c r="T47" s="2" t="n"/>
      <c r="U47" s="2" t="n"/>
      <c r="V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>
        <f>IF(I48="Weekly",5,IF(I48="Monthly",4,IF(I48="Quarterly",2,IF(I48="Occasional",1,0))))+K48+L48+M48+N48</f>
        <v/>
      </c>
      <c r="Q48" s="2">
        <f>IF(P48&gt;=20,"High-value beta",IF(P48&gt;=15,"Beta candidate",IF(P48&gt;=10,"Waitlist","Nurture")))</f>
        <v/>
      </c>
      <c r="R48" s="2" t="n"/>
      <c r="S48" s="2" t="n"/>
      <c r="T48" s="2" t="n"/>
      <c r="U48" s="2" t="n"/>
      <c r="V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>
        <f>IF(I49="Weekly",5,IF(I49="Monthly",4,IF(I49="Quarterly",2,IF(I49="Occasional",1,0))))+K49+L49+M49+N49</f>
        <v/>
      </c>
      <c r="Q49" s="2">
        <f>IF(P49&gt;=20,"High-value beta",IF(P49&gt;=15,"Beta candidate",IF(P49&gt;=10,"Waitlist","Nurture")))</f>
        <v/>
      </c>
      <c r="R49" s="2" t="n"/>
      <c r="S49" s="2" t="n"/>
      <c r="T49" s="2" t="n"/>
      <c r="U49" s="2" t="n"/>
      <c r="V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>
        <f>IF(I50="Weekly",5,IF(I50="Monthly",4,IF(I50="Quarterly",2,IF(I50="Occasional",1,0))))+K50+L50+M50+N50</f>
        <v/>
      </c>
      <c r="Q50" s="2">
        <f>IF(P50&gt;=20,"High-value beta",IF(P50&gt;=15,"Beta candidate",IF(P50&gt;=10,"Waitlist","Nurture")))</f>
        <v/>
      </c>
      <c r="R50" s="2" t="n"/>
      <c r="S50" s="2" t="n"/>
      <c r="T50" s="2" t="n"/>
      <c r="U50" s="2" t="n"/>
      <c r="V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>
        <f>IF(I51="Weekly",5,IF(I51="Monthly",4,IF(I51="Quarterly",2,IF(I51="Occasional",1,0))))+K51+L51+M51+N51</f>
        <v/>
      </c>
      <c r="Q51" s="2">
        <f>IF(P51&gt;=20,"High-value beta",IF(P51&gt;=15,"Beta candidate",IF(P51&gt;=10,"Waitlist","Nurture")))</f>
        <v/>
      </c>
      <c r="R51" s="2" t="n"/>
      <c r="S51" s="2" t="n"/>
      <c r="T51" s="2" t="n"/>
      <c r="U51" s="2" t="n"/>
      <c r="V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>
        <f>IF(I52="Weekly",5,IF(I52="Monthly",4,IF(I52="Quarterly",2,IF(I52="Occasional",1,0))))+K52+L52+M52+N52</f>
        <v/>
      </c>
      <c r="Q52" s="2">
        <f>IF(P52&gt;=20,"High-value beta",IF(P52&gt;=15,"Beta candidate",IF(P52&gt;=10,"Waitlist","Nurture")))</f>
        <v/>
      </c>
      <c r="R52" s="2" t="n"/>
      <c r="S52" s="2" t="n"/>
      <c r="T52" s="2" t="n"/>
      <c r="U52" s="2" t="n"/>
      <c r="V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>
        <f>IF(I53="Weekly",5,IF(I53="Monthly",4,IF(I53="Quarterly",2,IF(I53="Occasional",1,0))))+K53+L53+M53+N53</f>
        <v/>
      </c>
      <c r="Q53" s="2">
        <f>IF(P53&gt;=20,"High-value beta",IF(P53&gt;=15,"Beta candidate",IF(P53&gt;=10,"Waitlist","Nurture")))</f>
        <v/>
      </c>
      <c r="R53" s="2" t="n"/>
      <c r="S53" s="2" t="n"/>
      <c r="T53" s="2" t="n"/>
      <c r="U53" s="2" t="n"/>
      <c r="V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>
        <f>IF(I54="Weekly",5,IF(I54="Monthly",4,IF(I54="Quarterly",2,IF(I54="Occasional",1,0))))+K54+L54+M54+N54</f>
        <v/>
      </c>
      <c r="Q54" s="2">
        <f>IF(P54&gt;=20,"High-value beta",IF(P54&gt;=15,"Beta candidate",IF(P54&gt;=10,"Waitlist","Nurture")))</f>
        <v/>
      </c>
      <c r="R54" s="2" t="n"/>
      <c r="S54" s="2" t="n"/>
      <c r="T54" s="2" t="n"/>
      <c r="U54" s="2" t="n"/>
      <c r="V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>
        <f>IF(I55="Weekly",5,IF(I55="Monthly",4,IF(I55="Quarterly",2,IF(I55="Occasional",1,0))))+K55+L55+M55+N55</f>
        <v/>
      </c>
      <c r="Q55" s="2">
        <f>IF(P55&gt;=20,"High-value beta",IF(P55&gt;=15,"Beta candidate",IF(P55&gt;=10,"Waitlist","Nurture")))</f>
        <v/>
      </c>
      <c r="R55" s="2" t="n"/>
      <c r="S55" s="2" t="n"/>
      <c r="T55" s="2" t="n"/>
      <c r="U55" s="2" t="n"/>
      <c r="V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>
        <f>IF(I56="Weekly",5,IF(I56="Monthly",4,IF(I56="Quarterly",2,IF(I56="Occasional",1,0))))+K56+L56+M56+N56</f>
        <v/>
      </c>
      <c r="Q56" s="2">
        <f>IF(P56&gt;=20,"High-value beta",IF(P56&gt;=15,"Beta candidate",IF(P56&gt;=10,"Waitlist","Nurture")))</f>
        <v/>
      </c>
      <c r="R56" s="2" t="n"/>
      <c r="S56" s="2" t="n"/>
      <c r="T56" s="2" t="n"/>
      <c r="U56" s="2" t="n"/>
      <c r="V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>
        <f>IF(I57="Weekly",5,IF(I57="Monthly",4,IF(I57="Quarterly",2,IF(I57="Occasional",1,0))))+K57+L57+M57+N57</f>
        <v/>
      </c>
      <c r="Q57" s="2">
        <f>IF(P57&gt;=20,"High-value beta",IF(P57&gt;=15,"Beta candidate",IF(P57&gt;=10,"Waitlist","Nurture")))</f>
        <v/>
      </c>
      <c r="R57" s="2" t="n"/>
      <c r="S57" s="2" t="n"/>
      <c r="T57" s="2" t="n"/>
      <c r="U57" s="2" t="n"/>
      <c r="V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>
        <f>IF(I58="Weekly",5,IF(I58="Monthly",4,IF(I58="Quarterly",2,IF(I58="Occasional",1,0))))+K58+L58+M58+N58</f>
        <v/>
      </c>
      <c r="Q58" s="2">
        <f>IF(P58&gt;=20,"High-value beta",IF(P58&gt;=15,"Beta candidate",IF(P58&gt;=10,"Waitlist","Nurture")))</f>
        <v/>
      </c>
      <c r="R58" s="2" t="n"/>
      <c r="S58" s="2" t="n"/>
      <c r="T58" s="2" t="n"/>
      <c r="U58" s="2" t="n"/>
      <c r="V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>
        <f>IF(I59="Weekly",5,IF(I59="Monthly",4,IF(I59="Quarterly",2,IF(I59="Occasional",1,0))))+K59+L59+M59+N59</f>
        <v/>
      </c>
      <c r="Q59" s="2">
        <f>IF(P59&gt;=20,"High-value beta",IF(P59&gt;=15,"Beta candidate",IF(P59&gt;=10,"Waitlist","Nurture")))</f>
        <v/>
      </c>
      <c r="R59" s="2" t="n"/>
      <c r="S59" s="2" t="n"/>
      <c r="T59" s="2" t="n"/>
      <c r="U59" s="2" t="n"/>
      <c r="V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>
        <f>IF(I60="Weekly",5,IF(I60="Monthly",4,IF(I60="Quarterly",2,IF(I60="Occasional",1,0))))+K60+L60+M60+N60</f>
        <v/>
      </c>
      <c r="Q60" s="2">
        <f>IF(P60&gt;=20,"High-value beta",IF(P60&gt;=15,"Beta candidate",IF(P60&gt;=10,"Waitlist","Nurture")))</f>
        <v/>
      </c>
      <c r="R60" s="2" t="n"/>
      <c r="S60" s="2" t="n"/>
      <c r="T60" s="2" t="n"/>
      <c r="U60" s="2" t="n"/>
      <c r="V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>
        <f>IF(I61="Weekly",5,IF(I61="Monthly",4,IF(I61="Quarterly",2,IF(I61="Occasional",1,0))))+K61+L61+M61+N61</f>
        <v/>
      </c>
      <c r="Q61" s="2">
        <f>IF(P61&gt;=20,"High-value beta",IF(P61&gt;=15,"Beta candidate",IF(P61&gt;=10,"Waitlist","Nurture")))</f>
        <v/>
      </c>
      <c r="R61" s="2" t="n"/>
      <c r="S61" s="2" t="n"/>
      <c r="T61" s="2" t="n"/>
      <c r="U61" s="2" t="n"/>
      <c r="V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>
        <f>IF(I62="Weekly",5,IF(I62="Monthly",4,IF(I62="Quarterly",2,IF(I62="Occasional",1,0))))+K62+L62+M62+N62</f>
        <v/>
      </c>
      <c r="Q62" s="2">
        <f>IF(P62&gt;=20,"High-value beta",IF(P62&gt;=15,"Beta candidate",IF(P62&gt;=10,"Waitlist","Nurture")))</f>
        <v/>
      </c>
      <c r="R62" s="2" t="n"/>
      <c r="S62" s="2" t="n"/>
      <c r="T62" s="2" t="n"/>
      <c r="U62" s="2" t="n"/>
      <c r="V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>
        <f>IF(I63="Weekly",5,IF(I63="Monthly",4,IF(I63="Quarterly",2,IF(I63="Occasional",1,0))))+K63+L63+M63+N63</f>
        <v/>
      </c>
      <c r="Q63" s="2">
        <f>IF(P63&gt;=20,"High-value beta",IF(P63&gt;=15,"Beta candidate",IF(P63&gt;=10,"Waitlist","Nurture")))</f>
        <v/>
      </c>
      <c r="R63" s="2" t="n"/>
      <c r="S63" s="2" t="n"/>
      <c r="T63" s="2" t="n"/>
      <c r="U63" s="2" t="n"/>
      <c r="V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>
        <f>IF(I64="Weekly",5,IF(I64="Monthly",4,IF(I64="Quarterly",2,IF(I64="Occasional",1,0))))+K64+L64+M64+N64</f>
        <v/>
      </c>
      <c r="Q64" s="2">
        <f>IF(P64&gt;=20,"High-value beta",IF(P64&gt;=15,"Beta candidate",IF(P64&gt;=10,"Waitlist","Nurture")))</f>
        <v/>
      </c>
      <c r="R64" s="2" t="n"/>
      <c r="S64" s="2" t="n"/>
      <c r="T64" s="2" t="n"/>
      <c r="U64" s="2" t="n"/>
      <c r="V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>
        <f>IF(I65="Weekly",5,IF(I65="Monthly",4,IF(I65="Quarterly",2,IF(I65="Occasional",1,0))))+K65+L65+M65+N65</f>
        <v/>
      </c>
      <c r="Q65" s="2">
        <f>IF(P65&gt;=20,"High-value beta",IF(P65&gt;=15,"Beta candidate",IF(P65&gt;=10,"Waitlist","Nurture")))</f>
        <v/>
      </c>
      <c r="R65" s="2" t="n"/>
      <c r="S65" s="2" t="n"/>
      <c r="T65" s="2" t="n"/>
      <c r="U65" s="2" t="n"/>
      <c r="V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>
        <f>IF(I66="Weekly",5,IF(I66="Monthly",4,IF(I66="Quarterly",2,IF(I66="Occasional",1,0))))+K66+L66+M66+N66</f>
        <v/>
      </c>
      <c r="Q66" s="2">
        <f>IF(P66&gt;=20,"High-value beta",IF(P66&gt;=15,"Beta candidate",IF(P66&gt;=10,"Waitlist","Nurture")))</f>
        <v/>
      </c>
      <c r="R66" s="2" t="n"/>
      <c r="S66" s="2" t="n"/>
      <c r="T66" s="2" t="n"/>
      <c r="U66" s="2" t="n"/>
      <c r="V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>
        <f>IF(I67="Weekly",5,IF(I67="Monthly",4,IF(I67="Quarterly",2,IF(I67="Occasional",1,0))))+K67+L67+M67+N67</f>
        <v/>
      </c>
      <c r="Q67" s="2">
        <f>IF(P67&gt;=20,"High-value beta",IF(P67&gt;=15,"Beta candidate",IF(P67&gt;=10,"Waitlist","Nurture")))</f>
        <v/>
      </c>
      <c r="R67" s="2" t="n"/>
      <c r="S67" s="2" t="n"/>
      <c r="T67" s="2" t="n"/>
      <c r="U67" s="2" t="n"/>
      <c r="V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>
        <f>IF(I68="Weekly",5,IF(I68="Monthly",4,IF(I68="Quarterly",2,IF(I68="Occasional",1,0))))+K68+L68+M68+N68</f>
        <v/>
      </c>
      <c r="Q68" s="2">
        <f>IF(P68&gt;=20,"High-value beta",IF(P68&gt;=15,"Beta candidate",IF(P68&gt;=10,"Waitlist","Nurture")))</f>
        <v/>
      </c>
      <c r="R68" s="2" t="n"/>
      <c r="S68" s="2" t="n"/>
      <c r="T68" s="2" t="n"/>
      <c r="U68" s="2" t="n"/>
      <c r="V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>
        <f>IF(I69="Weekly",5,IF(I69="Monthly",4,IF(I69="Quarterly",2,IF(I69="Occasional",1,0))))+K69+L69+M69+N69</f>
        <v/>
      </c>
      <c r="Q69" s="2">
        <f>IF(P69&gt;=20,"High-value beta",IF(P69&gt;=15,"Beta candidate",IF(P69&gt;=10,"Waitlist","Nurture")))</f>
        <v/>
      </c>
      <c r="R69" s="2" t="n"/>
      <c r="S69" s="2" t="n"/>
      <c r="T69" s="2" t="n"/>
      <c r="U69" s="2" t="n"/>
      <c r="V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>
        <f>IF(I70="Weekly",5,IF(I70="Monthly",4,IF(I70="Quarterly",2,IF(I70="Occasional",1,0))))+K70+L70+M70+N70</f>
        <v/>
      </c>
      <c r="Q70" s="2">
        <f>IF(P70&gt;=20,"High-value beta",IF(P70&gt;=15,"Beta candidate",IF(P70&gt;=10,"Waitlist","Nurture")))</f>
        <v/>
      </c>
      <c r="R70" s="2" t="n"/>
      <c r="S70" s="2" t="n"/>
      <c r="T70" s="2" t="n"/>
      <c r="U70" s="2" t="n"/>
      <c r="V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>
        <f>IF(I71="Weekly",5,IF(I71="Monthly",4,IF(I71="Quarterly",2,IF(I71="Occasional",1,0))))+K71+L71+M71+N71</f>
        <v/>
      </c>
      <c r="Q71" s="2">
        <f>IF(P71&gt;=20,"High-value beta",IF(P71&gt;=15,"Beta candidate",IF(P71&gt;=10,"Waitlist","Nurture")))</f>
        <v/>
      </c>
      <c r="R71" s="2" t="n"/>
      <c r="S71" s="2" t="n"/>
      <c r="T71" s="2" t="n"/>
      <c r="U71" s="2" t="n"/>
      <c r="V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>
        <f>IF(I72="Weekly",5,IF(I72="Monthly",4,IF(I72="Quarterly",2,IF(I72="Occasional",1,0))))+K72+L72+M72+N72</f>
        <v/>
      </c>
      <c r="Q72" s="2">
        <f>IF(P72&gt;=20,"High-value beta",IF(P72&gt;=15,"Beta candidate",IF(P72&gt;=10,"Waitlist","Nurture")))</f>
        <v/>
      </c>
      <c r="R72" s="2" t="n"/>
      <c r="S72" s="2" t="n"/>
      <c r="T72" s="2" t="n"/>
      <c r="U72" s="2" t="n"/>
      <c r="V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>
        <f>IF(I73="Weekly",5,IF(I73="Monthly",4,IF(I73="Quarterly",2,IF(I73="Occasional",1,0))))+K73+L73+M73+N73</f>
        <v/>
      </c>
      <c r="Q73" s="2">
        <f>IF(P73&gt;=20,"High-value beta",IF(P73&gt;=15,"Beta candidate",IF(P73&gt;=10,"Waitlist","Nurture")))</f>
        <v/>
      </c>
      <c r="R73" s="2" t="n"/>
      <c r="S73" s="2" t="n"/>
      <c r="T73" s="2" t="n"/>
      <c r="U73" s="2" t="n"/>
      <c r="V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>
        <f>IF(I74="Weekly",5,IF(I74="Monthly",4,IF(I74="Quarterly",2,IF(I74="Occasional",1,0))))+K74+L74+M74+N74</f>
        <v/>
      </c>
      <c r="Q74" s="2">
        <f>IF(P74&gt;=20,"High-value beta",IF(P74&gt;=15,"Beta candidate",IF(P74&gt;=10,"Waitlist","Nurture")))</f>
        <v/>
      </c>
      <c r="R74" s="2" t="n"/>
      <c r="S74" s="2" t="n"/>
      <c r="T74" s="2" t="n"/>
      <c r="U74" s="2" t="n"/>
      <c r="V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>
        <f>IF(I75="Weekly",5,IF(I75="Monthly",4,IF(I75="Quarterly",2,IF(I75="Occasional",1,0))))+K75+L75+M75+N75</f>
        <v/>
      </c>
      <c r="Q75" s="2">
        <f>IF(P75&gt;=20,"High-value beta",IF(P75&gt;=15,"Beta candidate",IF(P75&gt;=10,"Waitlist","Nurture")))</f>
        <v/>
      </c>
      <c r="R75" s="2" t="n"/>
      <c r="S75" s="2" t="n"/>
      <c r="T75" s="2" t="n"/>
      <c r="U75" s="2" t="n"/>
      <c r="V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>
        <f>IF(I76="Weekly",5,IF(I76="Monthly",4,IF(I76="Quarterly",2,IF(I76="Occasional",1,0))))+K76+L76+M76+N76</f>
        <v/>
      </c>
      <c r="Q76" s="2">
        <f>IF(P76&gt;=20,"High-value beta",IF(P76&gt;=15,"Beta candidate",IF(P76&gt;=10,"Waitlist","Nurture")))</f>
        <v/>
      </c>
      <c r="R76" s="2" t="n"/>
      <c r="S76" s="2" t="n"/>
      <c r="T76" s="2" t="n"/>
      <c r="U76" s="2" t="n"/>
      <c r="V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>
        <f>IF(I77="Weekly",5,IF(I77="Monthly",4,IF(I77="Quarterly",2,IF(I77="Occasional",1,0))))+K77+L77+M77+N77</f>
        <v/>
      </c>
      <c r="Q77" s="2">
        <f>IF(P77&gt;=20,"High-value beta",IF(P77&gt;=15,"Beta candidate",IF(P77&gt;=10,"Waitlist","Nurture")))</f>
        <v/>
      </c>
      <c r="R77" s="2" t="n"/>
      <c r="S77" s="2" t="n"/>
      <c r="T77" s="2" t="n"/>
      <c r="U77" s="2" t="n"/>
      <c r="V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>
        <f>IF(I78="Weekly",5,IF(I78="Monthly",4,IF(I78="Quarterly",2,IF(I78="Occasional",1,0))))+K78+L78+M78+N78</f>
        <v/>
      </c>
      <c r="Q78" s="2">
        <f>IF(P78&gt;=20,"High-value beta",IF(P78&gt;=15,"Beta candidate",IF(P78&gt;=10,"Waitlist","Nurture")))</f>
        <v/>
      </c>
      <c r="R78" s="2" t="n"/>
      <c r="S78" s="2" t="n"/>
      <c r="T78" s="2" t="n"/>
      <c r="U78" s="2" t="n"/>
      <c r="V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>
        <f>IF(I79="Weekly",5,IF(I79="Monthly",4,IF(I79="Quarterly",2,IF(I79="Occasional",1,0))))+K79+L79+M79+N79</f>
        <v/>
      </c>
      <c r="Q79" s="2">
        <f>IF(P79&gt;=20,"High-value beta",IF(P79&gt;=15,"Beta candidate",IF(P79&gt;=10,"Waitlist","Nurture")))</f>
        <v/>
      </c>
      <c r="R79" s="2" t="n"/>
      <c r="S79" s="2" t="n"/>
      <c r="T79" s="2" t="n"/>
      <c r="U79" s="2" t="n"/>
      <c r="V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>
        <f>IF(I80="Weekly",5,IF(I80="Monthly",4,IF(I80="Quarterly",2,IF(I80="Occasional",1,0))))+K80+L80+M80+N80</f>
        <v/>
      </c>
      <c r="Q80" s="2">
        <f>IF(P80&gt;=20,"High-value beta",IF(P80&gt;=15,"Beta candidate",IF(P80&gt;=10,"Waitlist","Nurture")))</f>
        <v/>
      </c>
      <c r="R80" s="2" t="n"/>
      <c r="S80" s="2" t="n"/>
      <c r="T80" s="2" t="n"/>
      <c r="U80" s="2" t="n"/>
      <c r="V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>
        <f>IF(I81="Weekly",5,IF(I81="Monthly",4,IF(I81="Quarterly",2,IF(I81="Occasional",1,0))))+K81+L81+M81+N81</f>
        <v/>
      </c>
      <c r="Q81" s="2">
        <f>IF(P81&gt;=20,"High-value beta",IF(P81&gt;=15,"Beta candidate",IF(P81&gt;=10,"Waitlist","Nurture")))</f>
        <v/>
      </c>
      <c r="R81" s="2" t="n"/>
      <c r="S81" s="2" t="n"/>
      <c r="T81" s="2" t="n"/>
      <c r="U81" s="2" t="n"/>
      <c r="V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>
        <f>IF(I82="Weekly",5,IF(I82="Monthly",4,IF(I82="Quarterly",2,IF(I82="Occasional",1,0))))+K82+L82+M82+N82</f>
        <v/>
      </c>
      <c r="Q82" s="2">
        <f>IF(P82&gt;=20,"High-value beta",IF(P82&gt;=15,"Beta candidate",IF(P82&gt;=10,"Waitlist","Nurture")))</f>
        <v/>
      </c>
      <c r="R82" s="2" t="n"/>
      <c r="S82" s="2" t="n"/>
      <c r="T82" s="2" t="n"/>
      <c r="U82" s="2" t="n"/>
      <c r="V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>
        <f>IF(I83="Weekly",5,IF(I83="Monthly",4,IF(I83="Quarterly",2,IF(I83="Occasional",1,0))))+K83+L83+M83+N83</f>
        <v/>
      </c>
      <c r="Q83" s="2">
        <f>IF(P83&gt;=20,"High-value beta",IF(P83&gt;=15,"Beta candidate",IF(P83&gt;=10,"Waitlist","Nurture")))</f>
        <v/>
      </c>
      <c r="R83" s="2" t="n"/>
      <c r="S83" s="2" t="n"/>
      <c r="T83" s="2" t="n"/>
      <c r="U83" s="2" t="n"/>
      <c r="V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>
        <f>IF(I84="Weekly",5,IF(I84="Monthly",4,IF(I84="Quarterly",2,IF(I84="Occasional",1,0))))+K84+L84+M84+N84</f>
        <v/>
      </c>
      <c r="Q84" s="2">
        <f>IF(P84&gt;=20,"High-value beta",IF(P84&gt;=15,"Beta candidate",IF(P84&gt;=10,"Waitlist","Nurture")))</f>
        <v/>
      </c>
      <c r="R84" s="2" t="n"/>
      <c r="S84" s="2" t="n"/>
      <c r="T84" s="2" t="n"/>
      <c r="U84" s="2" t="n"/>
      <c r="V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>
        <f>IF(I85="Weekly",5,IF(I85="Monthly",4,IF(I85="Quarterly",2,IF(I85="Occasional",1,0))))+K85+L85+M85+N85</f>
        <v/>
      </c>
      <c r="Q85" s="2">
        <f>IF(P85&gt;=20,"High-value beta",IF(P85&gt;=15,"Beta candidate",IF(P85&gt;=10,"Waitlist","Nurture")))</f>
        <v/>
      </c>
      <c r="R85" s="2" t="n"/>
      <c r="S85" s="2" t="n"/>
      <c r="T85" s="2" t="n"/>
      <c r="U85" s="2" t="n"/>
      <c r="V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>
        <f>IF(I86="Weekly",5,IF(I86="Monthly",4,IF(I86="Quarterly",2,IF(I86="Occasional",1,0))))+K86+L86+M86+N86</f>
        <v/>
      </c>
      <c r="Q86" s="2">
        <f>IF(P86&gt;=20,"High-value beta",IF(P86&gt;=15,"Beta candidate",IF(P86&gt;=10,"Waitlist","Nurture")))</f>
        <v/>
      </c>
      <c r="R86" s="2" t="n"/>
      <c r="S86" s="2" t="n"/>
      <c r="T86" s="2" t="n"/>
      <c r="U86" s="2" t="n"/>
      <c r="V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>
        <f>IF(I87="Weekly",5,IF(I87="Monthly",4,IF(I87="Quarterly",2,IF(I87="Occasional",1,0))))+K87+L87+M87+N87</f>
        <v/>
      </c>
      <c r="Q87" s="2">
        <f>IF(P87&gt;=20,"High-value beta",IF(P87&gt;=15,"Beta candidate",IF(P87&gt;=10,"Waitlist","Nurture")))</f>
        <v/>
      </c>
      <c r="R87" s="2" t="n"/>
      <c r="S87" s="2" t="n"/>
      <c r="T87" s="2" t="n"/>
      <c r="U87" s="2" t="n"/>
      <c r="V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>
        <f>IF(I88="Weekly",5,IF(I88="Monthly",4,IF(I88="Quarterly",2,IF(I88="Occasional",1,0))))+K88+L88+M88+N88</f>
        <v/>
      </c>
      <c r="Q88" s="2">
        <f>IF(P88&gt;=20,"High-value beta",IF(P88&gt;=15,"Beta candidate",IF(P88&gt;=10,"Waitlist","Nurture")))</f>
        <v/>
      </c>
      <c r="R88" s="2" t="n"/>
      <c r="S88" s="2" t="n"/>
      <c r="T88" s="2" t="n"/>
      <c r="U88" s="2" t="n"/>
      <c r="V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>
        <f>IF(I89="Weekly",5,IF(I89="Monthly",4,IF(I89="Quarterly",2,IF(I89="Occasional",1,0))))+K89+L89+M89+N89</f>
        <v/>
      </c>
      <c r="Q89" s="2">
        <f>IF(P89&gt;=20,"High-value beta",IF(P89&gt;=15,"Beta candidate",IF(P89&gt;=10,"Waitlist","Nurture")))</f>
        <v/>
      </c>
      <c r="R89" s="2" t="n"/>
      <c r="S89" s="2" t="n"/>
      <c r="T89" s="2" t="n"/>
      <c r="U89" s="2" t="n"/>
      <c r="V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>
        <f>IF(I90="Weekly",5,IF(I90="Monthly",4,IF(I90="Quarterly",2,IF(I90="Occasional",1,0))))+K90+L90+M90+N90</f>
        <v/>
      </c>
      <c r="Q90" s="2">
        <f>IF(P90&gt;=20,"High-value beta",IF(P90&gt;=15,"Beta candidate",IF(P90&gt;=10,"Waitlist","Nurture")))</f>
        <v/>
      </c>
      <c r="R90" s="2" t="n"/>
      <c r="S90" s="2" t="n"/>
      <c r="T90" s="2" t="n"/>
      <c r="U90" s="2" t="n"/>
      <c r="V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>
        <f>IF(I91="Weekly",5,IF(I91="Monthly",4,IF(I91="Quarterly",2,IF(I91="Occasional",1,0))))+K91+L91+M91+N91</f>
        <v/>
      </c>
      <c r="Q91" s="2">
        <f>IF(P91&gt;=20,"High-value beta",IF(P91&gt;=15,"Beta candidate",IF(P91&gt;=10,"Waitlist","Nurture")))</f>
        <v/>
      </c>
      <c r="R91" s="2" t="n"/>
      <c r="S91" s="2" t="n"/>
      <c r="T91" s="2" t="n"/>
      <c r="U91" s="2" t="n"/>
      <c r="V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>
        <f>IF(I92="Weekly",5,IF(I92="Monthly",4,IF(I92="Quarterly",2,IF(I92="Occasional",1,0))))+K92+L92+M92+N92</f>
        <v/>
      </c>
      <c r="Q92" s="2">
        <f>IF(P92&gt;=20,"High-value beta",IF(P92&gt;=15,"Beta candidate",IF(P92&gt;=10,"Waitlist","Nurture")))</f>
        <v/>
      </c>
      <c r="R92" s="2" t="n"/>
      <c r="S92" s="2" t="n"/>
      <c r="T92" s="2" t="n"/>
      <c r="U92" s="2" t="n"/>
      <c r="V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>
        <f>IF(I93="Weekly",5,IF(I93="Monthly",4,IF(I93="Quarterly",2,IF(I93="Occasional",1,0))))+K93+L93+M93+N93</f>
        <v/>
      </c>
      <c r="Q93" s="2">
        <f>IF(P93&gt;=20,"High-value beta",IF(P93&gt;=15,"Beta candidate",IF(P93&gt;=10,"Waitlist","Nurture")))</f>
        <v/>
      </c>
      <c r="R93" s="2" t="n"/>
      <c r="S93" s="2" t="n"/>
      <c r="T93" s="2" t="n"/>
      <c r="U93" s="2" t="n"/>
      <c r="V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>
        <f>IF(I94="Weekly",5,IF(I94="Monthly",4,IF(I94="Quarterly",2,IF(I94="Occasional",1,0))))+K94+L94+M94+N94</f>
        <v/>
      </c>
      <c r="Q94" s="2">
        <f>IF(P94&gt;=20,"High-value beta",IF(P94&gt;=15,"Beta candidate",IF(P94&gt;=10,"Waitlist","Nurture")))</f>
        <v/>
      </c>
      <c r="R94" s="2" t="n"/>
      <c r="S94" s="2" t="n"/>
      <c r="T94" s="2" t="n"/>
      <c r="U94" s="2" t="n"/>
      <c r="V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>
        <f>IF(I95="Weekly",5,IF(I95="Monthly",4,IF(I95="Quarterly",2,IF(I95="Occasional",1,0))))+K95+L95+M95+N95</f>
        <v/>
      </c>
      <c r="Q95" s="2">
        <f>IF(P95&gt;=20,"High-value beta",IF(P95&gt;=15,"Beta candidate",IF(P95&gt;=10,"Waitlist","Nurture")))</f>
        <v/>
      </c>
      <c r="R95" s="2" t="n"/>
      <c r="S95" s="2" t="n"/>
      <c r="T95" s="2" t="n"/>
      <c r="U95" s="2" t="n"/>
      <c r="V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>
        <f>IF(I96="Weekly",5,IF(I96="Monthly",4,IF(I96="Quarterly",2,IF(I96="Occasional",1,0))))+K96+L96+M96+N96</f>
        <v/>
      </c>
      <c r="Q96" s="2">
        <f>IF(P96&gt;=20,"High-value beta",IF(P96&gt;=15,"Beta candidate",IF(P96&gt;=10,"Waitlist","Nurture")))</f>
        <v/>
      </c>
      <c r="R96" s="2" t="n"/>
      <c r="S96" s="2" t="n"/>
      <c r="T96" s="2" t="n"/>
      <c r="U96" s="2" t="n"/>
      <c r="V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>
        <f>IF(I97="Weekly",5,IF(I97="Monthly",4,IF(I97="Quarterly",2,IF(I97="Occasional",1,0))))+K97+L97+M97+N97</f>
        <v/>
      </c>
      <c r="Q97" s="2">
        <f>IF(P97&gt;=20,"High-value beta",IF(P97&gt;=15,"Beta candidate",IF(P97&gt;=10,"Waitlist","Nurture")))</f>
        <v/>
      </c>
      <c r="R97" s="2" t="n"/>
      <c r="S97" s="2" t="n"/>
      <c r="T97" s="2" t="n"/>
      <c r="U97" s="2" t="n"/>
      <c r="V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>
        <f>IF(I98="Weekly",5,IF(I98="Monthly",4,IF(I98="Quarterly",2,IF(I98="Occasional",1,0))))+K98+L98+M98+N98</f>
        <v/>
      </c>
      <c r="Q98" s="2">
        <f>IF(P98&gt;=20,"High-value beta",IF(P98&gt;=15,"Beta candidate",IF(P98&gt;=10,"Waitlist","Nurture")))</f>
        <v/>
      </c>
      <c r="R98" s="2" t="n"/>
      <c r="S98" s="2" t="n"/>
      <c r="T98" s="2" t="n"/>
      <c r="U98" s="2" t="n"/>
      <c r="V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>
        <f>IF(I99="Weekly",5,IF(I99="Monthly",4,IF(I99="Quarterly",2,IF(I99="Occasional",1,0))))+K99+L99+M99+N99</f>
        <v/>
      </c>
      <c r="Q99" s="2">
        <f>IF(P99&gt;=20,"High-value beta",IF(P99&gt;=15,"Beta candidate",IF(P99&gt;=10,"Waitlist","Nurture")))</f>
        <v/>
      </c>
      <c r="R99" s="2" t="n"/>
      <c r="S99" s="2" t="n"/>
      <c r="T99" s="2" t="n"/>
      <c r="U99" s="2" t="n"/>
      <c r="V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>
        <f>IF(I100="Weekly",5,IF(I100="Monthly",4,IF(I100="Quarterly",2,IF(I100="Occasional",1,0))))+K100+L100+M100+N100</f>
        <v/>
      </c>
      <c r="Q100" s="2">
        <f>IF(P100&gt;=20,"High-value beta",IF(P100&gt;=15,"Beta candidate",IF(P100&gt;=10,"Waitlist","Nurture")))</f>
        <v/>
      </c>
      <c r="R100" s="2" t="n"/>
      <c r="S100" s="2" t="n"/>
      <c r="T100" s="2" t="n"/>
      <c r="U100" s="2" t="n"/>
      <c r="V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>
        <f>IF(I101="Weekly",5,IF(I101="Monthly",4,IF(I101="Quarterly",2,IF(I101="Occasional",1,0))))+K101+L101+M101+N101</f>
        <v/>
      </c>
      <c r="Q101" s="2">
        <f>IF(P101&gt;=20,"High-value beta",IF(P101&gt;=15,"Beta candidate",IF(P101&gt;=10,"Waitlist","Nurture")))</f>
        <v/>
      </c>
      <c r="R101" s="2" t="n"/>
      <c r="S101" s="2" t="n"/>
      <c r="T101" s="2" t="n"/>
      <c r="U101" s="2" t="n"/>
      <c r="V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>
        <f>IF(I102="Weekly",5,IF(I102="Monthly",4,IF(I102="Quarterly",2,IF(I102="Occasional",1,0))))+K102+L102+M102+N102</f>
        <v/>
      </c>
      <c r="Q102" s="2">
        <f>IF(P102&gt;=20,"High-value beta",IF(P102&gt;=15,"Beta candidate",IF(P102&gt;=10,"Waitlist","Nurture")))</f>
        <v/>
      </c>
      <c r="R102" s="2" t="n"/>
      <c r="S102" s="2" t="n"/>
      <c r="T102" s="2" t="n"/>
      <c r="U102" s="2" t="n"/>
      <c r="V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>
        <f>IF(I103="Weekly",5,IF(I103="Monthly",4,IF(I103="Quarterly",2,IF(I103="Occasional",1,0))))+K103+L103+M103+N103</f>
        <v/>
      </c>
      <c r="Q103" s="2">
        <f>IF(P103&gt;=20,"High-value beta",IF(P103&gt;=15,"Beta candidate",IF(P103&gt;=10,"Waitlist","Nurture")))</f>
        <v/>
      </c>
      <c r="R103" s="2" t="n"/>
      <c r="S103" s="2" t="n"/>
      <c r="T103" s="2" t="n"/>
      <c r="U103" s="2" t="n"/>
      <c r="V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>
        <f>IF(I104="Weekly",5,IF(I104="Monthly",4,IF(I104="Quarterly",2,IF(I104="Occasional",1,0))))+K104+L104+M104+N104</f>
        <v/>
      </c>
      <c r="Q104" s="2">
        <f>IF(P104&gt;=20,"High-value beta",IF(P104&gt;=15,"Beta candidate",IF(P104&gt;=10,"Waitlist","Nurture")))</f>
        <v/>
      </c>
      <c r="R104" s="2" t="n"/>
      <c r="S104" s="2" t="n"/>
      <c r="T104" s="2" t="n"/>
      <c r="U104" s="2" t="n"/>
      <c r="V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>
        <f>IF(I105="Weekly",5,IF(I105="Monthly",4,IF(I105="Quarterly",2,IF(I105="Occasional",1,0))))+K105+L105+M105+N105</f>
        <v/>
      </c>
      <c r="Q105" s="2">
        <f>IF(P105&gt;=20,"High-value beta",IF(P105&gt;=15,"Beta candidate",IF(P105&gt;=10,"Waitlist","Nurture")))</f>
        <v/>
      </c>
      <c r="R105" s="2" t="n"/>
      <c r="S105" s="2" t="n"/>
      <c r="T105" s="2" t="n"/>
      <c r="U105" s="2" t="n"/>
      <c r="V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>
        <f>IF(I106="Weekly",5,IF(I106="Monthly",4,IF(I106="Quarterly",2,IF(I106="Occasional",1,0))))+K106+L106+M106+N106</f>
        <v/>
      </c>
      <c r="Q106" s="2">
        <f>IF(P106&gt;=20,"High-value beta",IF(P106&gt;=15,"Beta candidate",IF(P106&gt;=10,"Waitlist","Nurture")))</f>
        <v/>
      </c>
      <c r="R106" s="2" t="n"/>
      <c r="S106" s="2" t="n"/>
      <c r="T106" s="2" t="n"/>
      <c r="U106" s="2" t="n"/>
      <c r="V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>
        <f>IF(I107="Weekly",5,IF(I107="Monthly",4,IF(I107="Quarterly",2,IF(I107="Occasional",1,0))))+K107+L107+M107+N107</f>
        <v/>
      </c>
      <c r="Q107" s="2">
        <f>IF(P107&gt;=20,"High-value beta",IF(P107&gt;=15,"Beta candidate",IF(P107&gt;=10,"Waitlist","Nurture")))</f>
        <v/>
      </c>
      <c r="R107" s="2" t="n"/>
      <c r="S107" s="2" t="n"/>
      <c r="T107" s="2" t="n"/>
      <c r="U107" s="2" t="n"/>
      <c r="V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>
        <f>IF(I108="Weekly",5,IF(I108="Monthly",4,IF(I108="Quarterly",2,IF(I108="Occasional",1,0))))+K108+L108+M108+N108</f>
        <v/>
      </c>
      <c r="Q108" s="2">
        <f>IF(P108&gt;=20,"High-value beta",IF(P108&gt;=15,"Beta candidate",IF(P108&gt;=10,"Waitlist","Nurture")))</f>
        <v/>
      </c>
      <c r="R108" s="2" t="n"/>
      <c r="S108" s="2" t="n"/>
      <c r="T108" s="2" t="n"/>
      <c r="U108" s="2" t="n"/>
      <c r="V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>
        <f>IF(I109="Weekly",5,IF(I109="Monthly",4,IF(I109="Quarterly",2,IF(I109="Occasional",1,0))))+K109+L109+M109+N109</f>
        <v/>
      </c>
      <c r="Q109" s="2">
        <f>IF(P109&gt;=20,"High-value beta",IF(P109&gt;=15,"Beta candidate",IF(P109&gt;=10,"Waitlist","Nurture")))</f>
        <v/>
      </c>
      <c r="R109" s="2" t="n"/>
      <c r="S109" s="2" t="n"/>
      <c r="T109" s="2" t="n"/>
      <c r="U109" s="2" t="n"/>
      <c r="V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>
        <f>IF(I110="Weekly",5,IF(I110="Monthly",4,IF(I110="Quarterly",2,IF(I110="Occasional",1,0))))+K110+L110+M110+N110</f>
        <v/>
      </c>
      <c r="Q110" s="2">
        <f>IF(P110&gt;=20,"High-value beta",IF(P110&gt;=15,"Beta candidate",IF(P110&gt;=10,"Waitlist","Nurture")))</f>
        <v/>
      </c>
      <c r="R110" s="2" t="n"/>
      <c r="S110" s="2" t="n"/>
      <c r="T110" s="2" t="n"/>
      <c r="U110" s="2" t="n"/>
      <c r="V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>
        <f>IF(I111="Weekly",5,IF(I111="Monthly",4,IF(I111="Quarterly",2,IF(I111="Occasional",1,0))))+K111+L111+M111+N111</f>
        <v/>
      </c>
      <c r="Q111" s="2">
        <f>IF(P111&gt;=20,"High-value beta",IF(P111&gt;=15,"Beta candidate",IF(P111&gt;=10,"Waitlist","Nurture")))</f>
        <v/>
      </c>
      <c r="R111" s="2" t="n"/>
      <c r="S111" s="2" t="n"/>
      <c r="T111" s="2" t="n"/>
      <c r="U111" s="2" t="n"/>
      <c r="V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>
        <f>IF(I112="Weekly",5,IF(I112="Monthly",4,IF(I112="Quarterly",2,IF(I112="Occasional",1,0))))+K112+L112+M112+N112</f>
        <v/>
      </c>
      <c r="Q112" s="2">
        <f>IF(P112&gt;=20,"High-value beta",IF(P112&gt;=15,"Beta candidate",IF(P112&gt;=10,"Waitlist","Nurture")))</f>
        <v/>
      </c>
      <c r="R112" s="2" t="n"/>
      <c r="S112" s="2" t="n"/>
      <c r="T112" s="2" t="n"/>
      <c r="U112" s="2" t="n"/>
      <c r="V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>
        <f>IF(I113="Weekly",5,IF(I113="Monthly",4,IF(I113="Quarterly",2,IF(I113="Occasional",1,0))))+K113+L113+M113+N113</f>
        <v/>
      </c>
      <c r="Q113" s="2">
        <f>IF(P113&gt;=20,"High-value beta",IF(P113&gt;=15,"Beta candidate",IF(P113&gt;=10,"Waitlist","Nurture")))</f>
        <v/>
      </c>
      <c r="R113" s="2" t="n"/>
      <c r="S113" s="2" t="n"/>
      <c r="T113" s="2" t="n"/>
      <c r="U113" s="2" t="n"/>
      <c r="V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>
        <f>IF(I114="Weekly",5,IF(I114="Monthly",4,IF(I114="Quarterly",2,IF(I114="Occasional",1,0))))+K114+L114+M114+N114</f>
        <v/>
      </c>
      <c r="Q114" s="2">
        <f>IF(P114&gt;=20,"High-value beta",IF(P114&gt;=15,"Beta candidate",IF(P114&gt;=10,"Waitlist","Nurture")))</f>
        <v/>
      </c>
      <c r="R114" s="2" t="n"/>
      <c r="S114" s="2" t="n"/>
      <c r="T114" s="2" t="n"/>
      <c r="U114" s="2" t="n"/>
      <c r="V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>
        <f>IF(I115="Weekly",5,IF(I115="Monthly",4,IF(I115="Quarterly",2,IF(I115="Occasional",1,0))))+K115+L115+M115+N115</f>
        <v/>
      </c>
      <c r="Q115" s="2">
        <f>IF(P115&gt;=20,"High-value beta",IF(P115&gt;=15,"Beta candidate",IF(P115&gt;=10,"Waitlist","Nurture")))</f>
        <v/>
      </c>
      <c r="R115" s="2" t="n"/>
      <c r="S115" s="2" t="n"/>
      <c r="T115" s="2" t="n"/>
      <c r="U115" s="2" t="n"/>
      <c r="V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>
        <f>IF(I116="Weekly",5,IF(I116="Monthly",4,IF(I116="Quarterly",2,IF(I116="Occasional",1,0))))+K116+L116+M116+N116</f>
        <v/>
      </c>
      <c r="Q116" s="2">
        <f>IF(P116&gt;=20,"High-value beta",IF(P116&gt;=15,"Beta candidate",IF(P116&gt;=10,"Waitlist","Nurture")))</f>
        <v/>
      </c>
      <c r="R116" s="2" t="n"/>
      <c r="S116" s="2" t="n"/>
      <c r="T116" s="2" t="n"/>
      <c r="U116" s="2" t="n"/>
      <c r="V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>
        <f>IF(I117="Weekly",5,IF(I117="Monthly",4,IF(I117="Quarterly",2,IF(I117="Occasional",1,0))))+K117+L117+M117+N117</f>
        <v/>
      </c>
      <c r="Q117" s="2">
        <f>IF(P117&gt;=20,"High-value beta",IF(P117&gt;=15,"Beta candidate",IF(P117&gt;=10,"Waitlist","Nurture")))</f>
        <v/>
      </c>
      <c r="R117" s="2" t="n"/>
      <c r="S117" s="2" t="n"/>
      <c r="T117" s="2" t="n"/>
      <c r="U117" s="2" t="n"/>
      <c r="V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>
        <f>IF(I118="Weekly",5,IF(I118="Monthly",4,IF(I118="Quarterly",2,IF(I118="Occasional",1,0))))+K118+L118+M118+N118</f>
        <v/>
      </c>
      <c r="Q118" s="2">
        <f>IF(P118&gt;=20,"High-value beta",IF(P118&gt;=15,"Beta candidate",IF(P118&gt;=10,"Waitlist","Nurture")))</f>
        <v/>
      </c>
      <c r="R118" s="2" t="n"/>
      <c r="S118" s="2" t="n"/>
      <c r="T118" s="2" t="n"/>
      <c r="U118" s="2" t="n"/>
      <c r="V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>
        <f>IF(I119="Weekly",5,IF(I119="Monthly",4,IF(I119="Quarterly",2,IF(I119="Occasional",1,0))))+K119+L119+M119+N119</f>
        <v/>
      </c>
      <c r="Q119" s="2">
        <f>IF(P119&gt;=20,"High-value beta",IF(P119&gt;=15,"Beta candidate",IF(P119&gt;=10,"Waitlist","Nurture")))</f>
        <v/>
      </c>
      <c r="R119" s="2" t="n"/>
      <c r="S119" s="2" t="n"/>
      <c r="T119" s="2" t="n"/>
      <c r="U119" s="2" t="n"/>
      <c r="V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>
        <f>IF(I120="Weekly",5,IF(I120="Monthly",4,IF(I120="Quarterly",2,IF(I120="Occasional",1,0))))+K120+L120+M120+N120</f>
        <v/>
      </c>
      <c r="Q120" s="2">
        <f>IF(P120&gt;=20,"High-value beta",IF(P120&gt;=15,"Beta candidate",IF(P120&gt;=10,"Waitlist","Nurture")))</f>
        <v/>
      </c>
      <c r="R120" s="2" t="n"/>
      <c r="S120" s="2" t="n"/>
      <c r="T120" s="2" t="n"/>
      <c r="U120" s="2" t="n"/>
      <c r="V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>
        <f>IF(I121="Weekly",5,IF(I121="Monthly",4,IF(I121="Quarterly",2,IF(I121="Occasional",1,0))))+K121+L121+M121+N121</f>
        <v/>
      </c>
      <c r="Q121" s="2">
        <f>IF(P121&gt;=20,"High-value beta",IF(P121&gt;=15,"Beta candidate",IF(P121&gt;=10,"Waitlist","Nurture")))</f>
        <v/>
      </c>
      <c r="R121" s="2" t="n"/>
      <c r="S121" s="2" t="n"/>
      <c r="T121" s="2" t="n"/>
      <c r="U121" s="2" t="n"/>
      <c r="V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>
        <f>IF(I122="Weekly",5,IF(I122="Monthly",4,IF(I122="Quarterly",2,IF(I122="Occasional",1,0))))+K122+L122+M122+N122</f>
        <v/>
      </c>
      <c r="Q122" s="2">
        <f>IF(P122&gt;=20,"High-value beta",IF(P122&gt;=15,"Beta candidate",IF(P122&gt;=10,"Waitlist","Nurture")))</f>
        <v/>
      </c>
      <c r="R122" s="2" t="n"/>
      <c r="S122" s="2" t="n"/>
      <c r="T122" s="2" t="n"/>
      <c r="U122" s="2" t="n"/>
      <c r="V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>
        <f>IF(I123="Weekly",5,IF(I123="Monthly",4,IF(I123="Quarterly",2,IF(I123="Occasional",1,0))))+K123+L123+M123+N123</f>
        <v/>
      </c>
      <c r="Q123" s="2">
        <f>IF(P123&gt;=20,"High-value beta",IF(P123&gt;=15,"Beta candidate",IF(P123&gt;=10,"Waitlist","Nurture")))</f>
        <v/>
      </c>
      <c r="R123" s="2" t="n"/>
      <c r="S123" s="2" t="n"/>
      <c r="T123" s="2" t="n"/>
      <c r="U123" s="2" t="n"/>
      <c r="V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>
        <f>IF(I124="Weekly",5,IF(I124="Monthly",4,IF(I124="Quarterly",2,IF(I124="Occasional",1,0))))+K124+L124+M124+N124</f>
        <v/>
      </c>
      <c r="Q124" s="2">
        <f>IF(P124&gt;=20,"High-value beta",IF(P124&gt;=15,"Beta candidate",IF(P124&gt;=10,"Waitlist","Nurture")))</f>
        <v/>
      </c>
      <c r="R124" s="2" t="n"/>
      <c r="S124" s="2" t="n"/>
      <c r="T124" s="2" t="n"/>
      <c r="U124" s="2" t="n"/>
      <c r="V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>
        <f>IF(I125="Weekly",5,IF(I125="Monthly",4,IF(I125="Quarterly",2,IF(I125="Occasional",1,0))))+K125+L125+M125+N125</f>
        <v/>
      </c>
      <c r="Q125" s="2">
        <f>IF(P125&gt;=20,"High-value beta",IF(P125&gt;=15,"Beta candidate",IF(P125&gt;=10,"Waitlist","Nurture")))</f>
        <v/>
      </c>
      <c r="R125" s="2" t="n"/>
      <c r="S125" s="2" t="n"/>
      <c r="T125" s="2" t="n"/>
      <c r="U125" s="2" t="n"/>
      <c r="V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>
        <f>IF(I126="Weekly",5,IF(I126="Monthly",4,IF(I126="Quarterly",2,IF(I126="Occasional",1,0))))+K126+L126+M126+N126</f>
        <v/>
      </c>
      <c r="Q126" s="2">
        <f>IF(P126&gt;=20,"High-value beta",IF(P126&gt;=15,"Beta candidate",IF(P126&gt;=10,"Waitlist","Nurture")))</f>
        <v/>
      </c>
      <c r="R126" s="2" t="n"/>
      <c r="S126" s="2" t="n"/>
      <c r="T126" s="2" t="n"/>
      <c r="U126" s="2" t="n"/>
      <c r="V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>
        <f>IF(I127="Weekly",5,IF(I127="Monthly",4,IF(I127="Quarterly",2,IF(I127="Occasional",1,0))))+K127+L127+M127+N127</f>
        <v/>
      </c>
      <c r="Q127" s="2">
        <f>IF(P127&gt;=20,"High-value beta",IF(P127&gt;=15,"Beta candidate",IF(P127&gt;=10,"Waitlist","Nurture")))</f>
        <v/>
      </c>
      <c r="R127" s="2" t="n"/>
      <c r="S127" s="2" t="n"/>
      <c r="T127" s="2" t="n"/>
      <c r="U127" s="2" t="n"/>
      <c r="V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>
        <f>IF(I128="Weekly",5,IF(I128="Monthly",4,IF(I128="Quarterly",2,IF(I128="Occasional",1,0))))+K128+L128+M128+N128</f>
        <v/>
      </c>
      <c r="Q128" s="2">
        <f>IF(P128&gt;=20,"High-value beta",IF(P128&gt;=15,"Beta candidate",IF(P128&gt;=10,"Waitlist","Nurture")))</f>
        <v/>
      </c>
      <c r="R128" s="2" t="n"/>
      <c r="S128" s="2" t="n"/>
      <c r="T128" s="2" t="n"/>
      <c r="U128" s="2" t="n"/>
      <c r="V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>
        <f>IF(I129="Weekly",5,IF(I129="Monthly",4,IF(I129="Quarterly",2,IF(I129="Occasional",1,0))))+K129+L129+M129+N129</f>
        <v/>
      </c>
      <c r="Q129" s="2">
        <f>IF(P129&gt;=20,"High-value beta",IF(P129&gt;=15,"Beta candidate",IF(P129&gt;=10,"Waitlist","Nurture")))</f>
        <v/>
      </c>
      <c r="R129" s="2" t="n"/>
      <c r="S129" s="2" t="n"/>
      <c r="T129" s="2" t="n"/>
      <c r="U129" s="2" t="n"/>
      <c r="V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>
        <f>IF(I130="Weekly",5,IF(I130="Monthly",4,IF(I130="Quarterly",2,IF(I130="Occasional",1,0))))+K130+L130+M130+N130</f>
        <v/>
      </c>
      <c r="Q130" s="2">
        <f>IF(P130&gt;=20,"High-value beta",IF(P130&gt;=15,"Beta candidate",IF(P130&gt;=10,"Waitlist","Nurture")))</f>
        <v/>
      </c>
      <c r="R130" s="2" t="n"/>
      <c r="S130" s="2" t="n"/>
      <c r="T130" s="2" t="n"/>
      <c r="U130" s="2" t="n"/>
      <c r="V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>
        <f>IF(I131="Weekly",5,IF(I131="Monthly",4,IF(I131="Quarterly",2,IF(I131="Occasional",1,0))))+K131+L131+M131+N131</f>
        <v/>
      </c>
      <c r="Q131" s="2">
        <f>IF(P131&gt;=20,"High-value beta",IF(P131&gt;=15,"Beta candidate",IF(P131&gt;=10,"Waitlist","Nurture")))</f>
        <v/>
      </c>
      <c r="R131" s="2" t="n"/>
      <c r="S131" s="2" t="n"/>
      <c r="T131" s="2" t="n"/>
      <c r="U131" s="2" t="n"/>
      <c r="V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>
        <f>IF(I132="Weekly",5,IF(I132="Monthly",4,IF(I132="Quarterly",2,IF(I132="Occasional",1,0))))+K132+L132+M132+N132</f>
        <v/>
      </c>
      <c r="Q132" s="2">
        <f>IF(P132&gt;=20,"High-value beta",IF(P132&gt;=15,"Beta candidate",IF(P132&gt;=10,"Waitlist","Nurture")))</f>
        <v/>
      </c>
      <c r="R132" s="2" t="n"/>
      <c r="S132" s="2" t="n"/>
      <c r="T132" s="2" t="n"/>
      <c r="U132" s="2" t="n"/>
      <c r="V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>
        <f>IF(I133="Weekly",5,IF(I133="Monthly",4,IF(I133="Quarterly",2,IF(I133="Occasional",1,0))))+K133+L133+M133+N133</f>
        <v/>
      </c>
      <c r="Q133" s="2">
        <f>IF(P133&gt;=20,"High-value beta",IF(P133&gt;=15,"Beta candidate",IF(P133&gt;=10,"Waitlist","Nurture")))</f>
        <v/>
      </c>
      <c r="R133" s="2" t="n"/>
      <c r="S133" s="2" t="n"/>
      <c r="T133" s="2" t="n"/>
      <c r="U133" s="2" t="n"/>
      <c r="V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>
        <f>IF(I134="Weekly",5,IF(I134="Monthly",4,IF(I134="Quarterly",2,IF(I134="Occasional",1,0))))+K134+L134+M134+N134</f>
        <v/>
      </c>
      <c r="Q134" s="2">
        <f>IF(P134&gt;=20,"High-value beta",IF(P134&gt;=15,"Beta candidate",IF(P134&gt;=10,"Waitlist","Nurture")))</f>
        <v/>
      </c>
      <c r="R134" s="2" t="n"/>
      <c r="S134" s="2" t="n"/>
      <c r="T134" s="2" t="n"/>
      <c r="U134" s="2" t="n"/>
      <c r="V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>
        <f>IF(I135="Weekly",5,IF(I135="Monthly",4,IF(I135="Quarterly",2,IF(I135="Occasional",1,0))))+K135+L135+M135+N135</f>
        <v/>
      </c>
      <c r="Q135" s="2">
        <f>IF(P135&gt;=20,"High-value beta",IF(P135&gt;=15,"Beta candidate",IF(P135&gt;=10,"Waitlist","Nurture")))</f>
        <v/>
      </c>
      <c r="R135" s="2" t="n"/>
      <c r="S135" s="2" t="n"/>
      <c r="T135" s="2" t="n"/>
      <c r="U135" s="2" t="n"/>
      <c r="V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>
        <f>IF(I136="Weekly",5,IF(I136="Monthly",4,IF(I136="Quarterly",2,IF(I136="Occasional",1,0))))+K136+L136+M136+N136</f>
        <v/>
      </c>
      <c r="Q136" s="2">
        <f>IF(P136&gt;=20,"High-value beta",IF(P136&gt;=15,"Beta candidate",IF(P136&gt;=10,"Waitlist","Nurture")))</f>
        <v/>
      </c>
      <c r="R136" s="2" t="n"/>
      <c r="S136" s="2" t="n"/>
      <c r="T136" s="2" t="n"/>
      <c r="U136" s="2" t="n"/>
      <c r="V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>
        <f>IF(I137="Weekly",5,IF(I137="Monthly",4,IF(I137="Quarterly",2,IF(I137="Occasional",1,0))))+K137+L137+M137+N137</f>
        <v/>
      </c>
      <c r="Q137" s="2">
        <f>IF(P137&gt;=20,"High-value beta",IF(P137&gt;=15,"Beta candidate",IF(P137&gt;=10,"Waitlist","Nurture")))</f>
        <v/>
      </c>
      <c r="R137" s="2" t="n"/>
      <c r="S137" s="2" t="n"/>
      <c r="T137" s="2" t="n"/>
      <c r="U137" s="2" t="n"/>
      <c r="V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>
        <f>IF(I138="Weekly",5,IF(I138="Monthly",4,IF(I138="Quarterly",2,IF(I138="Occasional",1,0))))+K138+L138+M138+N138</f>
        <v/>
      </c>
      <c r="Q138" s="2">
        <f>IF(P138&gt;=20,"High-value beta",IF(P138&gt;=15,"Beta candidate",IF(P138&gt;=10,"Waitlist","Nurture")))</f>
        <v/>
      </c>
      <c r="R138" s="2" t="n"/>
      <c r="S138" s="2" t="n"/>
      <c r="T138" s="2" t="n"/>
      <c r="U138" s="2" t="n"/>
      <c r="V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>
        <f>IF(I139="Weekly",5,IF(I139="Monthly",4,IF(I139="Quarterly",2,IF(I139="Occasional",1,0))))+K139+L139+M139+N139</f>
        <v/>
      </c>
      <c r="Q139" s="2">
        <f>IF(P139&gt;=20,"High-value beta",IF(P139&gt;=15,"Beta candidate",IF(P139&gt;=10,"Waitlist","Nurture")))</f>
        <v/>
      </c>
      <c r="R139" s="2" t="n"/>
      <c r="S139" s="2" t="n"/>
      <c r="T139" s="2" t="n"/>
      <c r="U139" s="2" t="n"/>
      <c r="V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>
        <f>IF(I140="Weekly",5,IF(I140="Monthly",4,IF(I140="Quarterly",2,IF(I140="Occasional",1,0))))+K140+L140+M140+N140</f>
        <v/>
      </c>
      <c r="Q140" s="2">
        <f>IF(P140&gt;=20,"High-value beta",IF(P140&gt;=15,"Beta candidate",IF(P140&gt;=10,"Waitlist","Nurture")))</f>
        <v/>
      </c>
      <c r="R140" s="2" t="n"/>
      <c r="S140" s="2" t="n"/>
      <c r="T140" s="2" t="n"/>
      <c r="U140" s="2" t="n"/>
      <c r="V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>
        <f>IF(I141="Weekly",5,IF(I141="Monthly",4,IF(I141="Quarterly",2,IF(I141="Occasional",1,0))))+K141+L141+M141+N141</f>
        <v/>
      </c>
      <c r="Q141" s="2">
        <f>IF(P141&gt;=20,"High-value beta",IF(P141&gt;=15,"Beta candidate",IF(P141&gt;=10,"Waitlist","Nurture")))</f>
        <v/>
      </c>
      <c r="R141" s="2" t="n"/>
      <c r="S141" s="2" t="n"/>
      <c r="T141" s="2" t="n"/>
      <c r="U141" s="2" t="n"/>
      <c r="V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>
        <f>IF(I142="Weekly",5,IF(I142="Monthly",4,IF(I142="Quarterly",2,IF(I142="Occasional",1,0))))+K142+L142+M142+N142</f>
        <v/>
      </c>
      <c r="Q142" s="2">
        <f>IF(P142&gt;=20,"High-value beta",IF(P142&gt;=15,"Beta candidate",IF(P142&gt;=10,"Waitlist","Nurture")))</f>
        <v/>
      </c>
      <c r="R142" s="2" t="n"/>
      <c r="S142" s="2" t="n"/>
      <c r="T142" s="2" t="n"/>
      <c r="U142" s="2" t="n"/>
      <c r="V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>
        <f>IF(I143="Weekly",5,IF(I143="Monthly",4,IF(I143="Quarterly",2,IF(I143="Occasional",1,0))))+K143+L143+M143+N143</f>
        <v/>
      </c>
      <c r="Q143" s="2">
        <f>IF(P143&gt;=20,"High-value beta",IF(P143&gt;=15,"Beta candidate",IF(P143&gt;=10,"Waitlist","Nurture")))</f>
        <v/>
      </c>
      <c r="R143" s="2" t="n"/>
      <c r="S143" s="2" t="n"/>
      <c r="T143" s="2" t="n"/>
      <c r="U143" s="2" t="n"/>
      <c r="V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>
        <f>IF(I144="Weekly",5,IF(I144="Monthly",4,IF(I144="Quarterly",2,IF(I144="Occasional",1,0))))+K144+L144+M144+N144</f>
        <v/>
      </c>
      <c r="Q144" s="2">
        <f>IF(P144&gt;=20,"High-value beta",IF(P144&gt;=15,"Beta candidate",IF(P144&gt;=10,"Waitlist","Nurture")))</f>
        <v/>
      </c>
      <c r="R144" s="2" t="n"/>
      <c r="S144" s="2" t="n"/>
      <c r="T144" s="2" t="n"/>
      <c r="U144" s="2" t="n"/>
      <c r="V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>
        <f>IF(I145="Weekly",5,IF(I145="Monthly",4,IF(I145="Quarterly",2,IF(I145="Occasional",1,0))))+K145+L145+M145+N145</f>
        <v/>
      </c>
      <c r="Q145" s="2">
        <f>IF(P145&gt;=20,"High-value beta",IF(P145&gt;=15,"Beta candidate",IF(P145&gt;=10,"Waitlist","Nurture")))</f>
        <v/>
      </c>
      <c r="R145" s="2" t="n"/>
      <c r="S145" s="2" t="n"/>
      <c r="T145" s="2" t="n"/>
      <c r="U145" s="2" t="n"/>
      <c r="V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>
        <f>IF(I146="Weekly",5,IF(I146="Monthly",4,IF(I146="Quarterly",2,IF(I146="Occasional",1,0))))+K146+L146+M146+N146</f>
        <v/>
      </c>
      <c r="Q146" s="2">
        <f>IF(P146&gt;=20,"High-value beta",IF(P146&gt;=15,"Beta candidate",IF(P146&gt;=10,"Waitlist","Nurture")))</f>
        <v/>
      </c>
      <c r="R146" s="2" t="n"/>
      <c r="S146" s="2" t="n"/>
      <c r="T146" s="2" t="n"/>
      <c r="U146" s="2" t="n"/>
      <c r="V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>
        <f>IF(I147="Weekly",5,IF(I147="Monthly",4,IF(I147="Quarterly",2,IF(I147="Occasional",1,0))))+K147+L147+M147+N147</f>
        <v/>
      </c>
      <c r="Q147" s="2">
        <f>IF(P147&gt;=20,"High-value beta",IF(P147&gt;=15,"Beta candidate",IF(P147&gt;=10,"Waitlist","Nurture")))</f>
        <v/>
      </c>
      <c r="R147" s="2" t="n"/>
      <c r="S147" s="2" t="n"/>
      <c r="T147" s="2" t="n"/>
      <c r="U147" s="2" t="n"/>
      <c r="V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>
        <f>IF(I148="Weekly",5,IF(I148="Monthly",4,IF(I148="Quarterly",2,IF(I148="Occasional",1,0))))+K148+L148+M148+N148</f>
        <v/>
      </c>
      <c r="Q148" s="2">
        <f>IF(P148&gt;=20,"High-value beta",IF(P148&gt;=15,"Beta candidate",IF(P148&gt;=10,"Waitlist","Nurture")))</f>
        <v/>
      </c>
      <c r="R148" s="2" t="n"/>
      <c r="S148" s="2" t="n"/>
      <c r="T148" s="2" t="n"/>
      <c r="U148" s="2" t="n"/>
      <c r="V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>
        <f>IF(I149="Weekly",5,IF(I149="Monthly",4,IF(I149="Quarterly",2,IF(I149="Occasional",1,0))))+K149+L149+M149+N149</f>
        <v/>
      </c>
      <c r="Q149" s="2">
        <f>IF(P149&gt;=20,"High-value beta",IF(P149&gt;=15,"Beta candidate",IF(P149&gt;=10,"Waitlist","Nurture")))</f>
        <v/>
      </c>
      <c r="R149" s="2" t="n"/>
      <c r="S149" s="2" t="n"/>
      <c r="T149" s="2" t="n"/>
      <c r="U149" s="2" t="n"/>
      <c r="V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>
        <f>IF(I150="Weekly",5,IF(I150="Monthly",4,IF(I150="Quarterly",2,IF(I150="Occasional",1,0))))+K150+L150+M150+N150</f>
        <v/>
      </c>
      <c r="Q150" s="2">
        <f>IF(P150&gt;=20,"High-value beta",IF(P150&gt;=15,"Beta candidate",IF(P150&gt;=10,"Waitlist","Nurture")))</f>
        <v/>
      </c>
      <c r="R150" s="2" t="n"/>
      <c r="S150" s="2" t="n"/>
      <c r="T150" s="2" t="n"/>
      <c r="U150" s="2" t="n"/>
      <c r="V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>
        <f>IF(I151="Weekly",5,IF(I151="Monthly",4,IF(I151="Quarterly",2,IF(I151="Occasional",1,0))))+K151+L151+M151+N151</f>
        <v/>
      </c>
      <c r="Q151" s="2">
        <f>IF(P151&gt;=20,"High-value beta",IF(P151&gt;=15,"Beta candidate",IF(P151&gt;=10,"Waitlist","Nurture")))</f>
        <v/>
      </c>
      <c r="R151" s="2" t="n"/>
      <c r="S151" s="2" t="n"/>
      <c r="T151" s="2" t="n"/>
      <c r="U151" s="2" t="n"/>
      <c r="V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>
        <f>IF(I152="Weekly",5,IF(I152="Monthly",4,IF(I152="Quarterly",2,IF(I152="Occasional",1,0))))+K152+L152+M152+N152</f>
        <v/>
      </c>
      <c r="Q152" s="2">
        <f>IF(P152&gt;=20,"High-value beta",IF(P152&gt;=15,"Beta candidate",IF(P152&gt;=10,"Waitlist","Nurture")))</f>
        <v/>
      </c>
      <c r="R152" s="2" t="n"/>
      <c r="S152" s="2" t="n"/>
      <c r="T152" s="2" t="n"/>
      <c r="U152" s="2" t="n"/>
      <c r="V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>
        <f>IF(I153="Weekly",5,IF(I153="Monthly",4,IF(I153="Quarterly",2,IF(I153="Occasional",1,0))))+K153+L153+M153+N153</f>
        <v/>
      </c>
      <c r="Q153" s="2">
        <f>IF(P153&gt;=20,"High-value beta",IF(P153&gt;=15,"Beta candidate",IF(P153&gt;=10,"Waitlist","Nurture")))</f>
        <v/>
      </c>
      <c r="R153" s="2" t="n"/>
      <c r="S153" s="2" t="n"/>
      <c r="T153" s="2" t="n"/>
      <c r="U153" s="2" t="n"/>
      <c r="V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>
        <f>IF(I154="Weekly",5,IF(I154="Monthly",4,IF(I154="Quarterly",2,IF(I154="Occasional",1,0))))+K154+L154+M154+N154</f>
        <v/>
      </c>
      <c r="Q154" s="2">
        <f>IF(P154&gt;=20,"High-value beta",IF(P154&gt;=15,"Beta candidate",IF(P154&gt;=10,"Waitlist","Nurture")))</f>
        <v/>
      </c>
      <c r="R154" s="2" t="n"/>
      <c r="S154" s="2" t="n"/>
      <c r="T154" s="2" t="n"/>
      <c r="U154" s="2" t="n"/>
      <c r="V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>
        <f>IF(I155="Weekly",5,IF(I155="Monthly",4,IF(I155="Quarterly",2,IF(I155="Occasional",1,0))))+K155+L155+M155+N155</f>
        <v/>
      </c>
      <c r="Q155" s="2">
        <f>IF(P155&gt;=20,"High-value beta",IF(P155&gt;=15,"Beta candidate",IF(P155&gt;=10,"Waitlist","Nurture")))</f>
        <v/>
      </c>
      <c r="R155" s="2" t="n"/>
      <c r="S155" s="2" t="n"/>
      <c r="T155" s="2" t="n"/>
      <c r="U155" s="2" t="n"/>
      <c r="V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>
        <f>IF(I156="Weekly",5,IF(I156="Monthly",4,IF(I156="Quarterly",2,IF(I156="Occasional",1,0))))+K156+L156+M156+N156</f>
        <v/>
      </c>
      <c r="Q156" s="2">
        <f>IF(P156&gt;=20,"High-value beta",IF(P156&gt;=15,"Beta candidate",IF(P156&gt;=10,"Waitlist","Nurture")))</f>
        <v/>
      </c>
      <c r="R156" s="2" t="n"/>
      <c r="S156" s="2" t="n"/>
      <c r="T156" s="2" t="n"/>
      <c r="U156" s="2" t="n"/>
      <c r="V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>
        <f>IF(I157="Weekly",5,IF(I157="Monthly",4,IF(I157="Quarterly",2,IF(I157="Occasional",1,0))))+K157+L157+M157+N157</f>
        <v/>
      </c>
      <c r="Q157" s="2">
        <f>IF(P157&gt;=20,"High-value beta",IF(P157&gt;=15,"Beta candidate",IF(P157&gt;=10,"Waitlist","Nurture")))</f>
        <v/>
      </c>
      <c r="R157" s="2" t="n"/>
      <c r="S157" s="2" t="n"/>
      <c r="T157" s="2" t="n"/>
      <c r="U157" s="2" t="n"/>
      <c r="V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>
        <f>IF(I158="Weekly",5,IF(I158="Monthly",4,IF(I158="Quarterly",2,IF(I158="Occasional",1,0))))+K158+L158+M158+N158</f>
        <v/>
      </c>
      <c r="Q158" s="2">
        <f>IF(P158&gt;=20,"High-value beta",IF(P158&gt;=15,"Beta candidate",IF(P158&gt;=10,"Waitlist","Nurture")))</f>
        <v/>
      </c>
      <c r="R158" s="2" t="n"/>
      <c r="S158" s="2" t="n"/>
      <c r="T158" s="2" t="n"/>
      <c r="U158" s="2" t="n"/>
      <c r="V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>
        <f>IF(I159="Weekly",5,IF(I159="Monthly",4,IF(I159="Quarterly",2,IF(I159="Occasional",1,0))))+K159+L159+M159+N159</f>
        <v/>
      </c>
      <c r="Q159" s="2">
        <f>IF(P159&gt;=20,"High-value beta",IF(P159&gt;=15,"Beta candidate",IF(P159&gt;=10,"Waitlist","Nurture")))</f>
        <v/>
      </c>
      <c r="R159" s="2" t="n"/>
      <c r="S159" s="2" t="n"/>
      <c r="T159" s="2" t="n"/>
      <c r="U159" s="2" t="n"/>
      <c r="V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>
        <f>IF(I160="Weekly",5,IF(I160="Monthly",4,IF(I160="Quarterly",2,IF(I160="Occasional",1,0))))+K160+L160+M160+N160</f>
        <v/>
      </c>
      <c r="Q160" s="2">
        <f>IF(P160&gt;=20,"High-value beta",IF(P160&gt;=15,"Beta candidate",IF(P160&gt;=10,"Waitlist","Nurture")))</f>
        <v/>
      </c>
      <c r="R160" s="2" t="n"/>
      <c r="S160" s="2" t="n"/>
      <c r="T160" s="2" t="n"/>
      <c r="U160" s="2" t="n"/>
      <c r="V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>
        <f>IF(I161="Weekly",5,IF(I161="Monthly",4,IF(I161="Quarterly",2,IF(I161="Occasional",1,0))))+K161+L161+M161+N161</f>
        <v/>
      </c>
      <c r="Q161" s="2">
        <f>IF(P161&gt;=20,"High-value beta",IF(P161&gt;=15,"Beta candidate",IF(P161&gt;=10,"Waitlist","Nurture")))</f>
        <v/>
      </c>
      <c r="R161" s="2" t="n"/>
      <c r="S161" s="2" t="n"/>
      <c r="T161" s="2" t="n"/>
      <c r="U161" s="2" t="n"/>
      <c r="V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>
        <f>IF(I162="Weekly",5,IF(I162="Monthly",4,IF(I162="Quarterly",2,IF(I162="Occasional",1,0))))+K162+L162+M162+N162</f>
        <v/>
      </c>
      <c r="Q162" s="2">
        <f>IF(P162&gt;=20,"High-value beta",IF(P162&gt;=15,"Beta candidate",IF(P162&gt;=10,"Waitlist","Nurture")))</f>
        <v/>
      </c>
      <c r="R162" s="2" t="n"/>
      <c r="S162" s="2" t="n"/>
      <c r="T162" s="2" t="n"/>
      <c r="U162" s="2" t="n"/>
      <c r="V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>
        <f>IF(I163="Weekly",5,IF(I163="Monthly",4,IF(I163="Quarterly",2,IF(I163="Occasional",1,0))))+K163+L163+M163+N163</f>
        <v/>
      </c>
      <c r="Q163" s="2">
        <f>IF(P163&gt;=20,"High-value beta",IF(P163&gt;=15,"Beta candidate",IF(P163&gt;=10,"Waitlist","Nurture")))</f>
        <v/>
      </c>
      <c r="R163" s="2" t="n"/>
      <c r="S163" s="2" t="n"/>
      <c r="T163" s="2" t="n"/>
      <c r="U163" s="2" t="n"/>
      <c r="V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>
        <f>IF(I164="Weekly",5,IF(I164="Monthly",4,IF(I164="Quarterly",2,IF(I164="Occasional",1,0))))+K164+L164+M164+N164</f>
        <v/>
      </c>
      <c r="Q164" s="2">
        <f>IF(P164&gt;=20,"High-value beta",IF(P164&gt;=15,"Beta candidate",IF(P164&gt;=10,"Waitlist","Nurture")))</f>
        <v/>
      </c>
      <c r="R164" s="2" t="n"/>
      <c r="S164" s="2" t="n"/>
      <c r="T164" s="2" t="n"/>
      <c r="U164" s="2" t="n"/>
      <c r="V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>
        <f>IF(I165="Weekly",5,IF(I165="Monthly",4,IF(I165="Quarterly",2,IF(I165="Occasional",1,0))))+K165+L165+M165+N165</f>
        <v/>
      </c>
      <c r="Q165" s="2">
        <f>IF(P165&gt;=20,"High-value beta",IF(P165&gt;=15,"Beta candidate",IF(P165&gt;=10,"Waitlist","Nurture")))</f>
        <v/>
      </c>
      <c r="R165" s="2" t="n"/>
      <c r="S165" s="2" t="n"/>
      <c r="T165" s="2" t="n"/>
      <c r="U165" s="2" t="n"/>
      <c r="V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>
        <f>IF(I166="Weekly",5,IF(I166="Monthly",4,IF(I166="Quarterly",2,IF(I166="Occasional",1,0))))+K166+L166+M166+N166</f>
        <v/>
      </c>
      <c r="Q166" s="2">
        <f>IF(P166&gt;=20,"High-value beta",IF(P166&gt;=15,"Beta candidate",IF(P166&gt;=10,"Waitlist","Nurture")))</f>
        <v/>
      </c>
      <c r="R166" s="2" t="n"/>
      <c r="S166" s="2" t="n"/>
      <c r="T166" s="2" t="n"/>
      <c r="U166" s="2" t="n"/>
      <c r="V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>
        <f>IF(I167="Weekly",5,IF(I167="Monthly",4,IF(I167="Quarterly",2,IF(I167="Occasional",1,0))))+K167+L167+M167+N167</f>
        <v/>
      </c>
      <c r="Q167" s="2">
        <f>IF(P167&gt;=20,"High-value beta",IF(P167&gt;=15,"Beta candidate",IF(P167&gt;=10,"Waitlist","Nurture")))</f>
        <v/>
      </c>
      <c r="R167" s="2" t="n"/>
      <c r="S167" s="2" t="n"/>
      <c r="T167" s="2" t="n"/>
      <c r="U167" s="2" t="n"/>
      <c r="V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>
        <f>IF(I168="Weekly",5,IF(I168="Monthly",4,IF(I168="Quarterly",2,IF(I168="Occasional",1,0))))+K168+L168+M168+N168</f>
        <v/>
      </c>
      <c r="Q168" s="2">
        <f>IF(P168&gt;=20,"High-value beta",IF(P168&gt;=15,"Beta candidate",IF(P168&gt;=10,"Waitlist","Nurture")))</f>
        <v/>
      </c>
      <c r="R168" s="2" t="n"/>
      <c r="S168" s="2" t="n"/>
      <c r="T168" s="2" t="n"/>
      <c r="U168" s="2" t="n"/>
      <c r="V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>
        <f>IF(I169="Weekly",5,IF(I169="Monthly",4,IF(I169="Quarterly",2,IF(I169="Occasional",1,0))))+K169+L169+M169+N169</f>
        <v/>
      </c>
      <c r="Q169" s="2">
        <f>IF(P169&gt;=20,"High-value beta",IF(P169&gt;=15,"Beta candidate",IF(P169&gt;=10,"Waitlist","Nurture")))</f>
        <v/>
      </c>
      <c r="R169" s="2" t="n"/>
      <c r="S169" s="2" t="n"/>
      <c r="T169" s="2" t="n"/>
      <c r="U169" s="2" t="n"/>
      <c r="V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>
        <f>IF(I170="Weekly",5,IF(I170="Monthly",4,IF(I170="Quarterly",2,IF(I170="Occasional",1,0))))+K170+L170+M170+N170</f>
        <v/>
      </c>
      <c r="Q170" s="2">
        <f>IF(P170&gt;=20,"High-value beta",IF(P170&gt;=15,"Beta candidate",IF(P170&gt;=10,"Waitlist","Nurture")))</f>
        <v/>
      </c>
      <c r="R170" s="2" t="n"/>
      <c r="S170" s="2" t="n"/>
      <c r="T170" s="2" t="n"/>
      <c r="U170" s="2" t="n"/>
      <c r="V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>
        <f>IF(I171="Weekly",5,IF(I171="Monthly",4,IF(I171="Quarterly",2,IF(I171="Occasional",1,0))))+K171+L171+M171+N171</f>
        <v/>
      </c>
      <c r="Q171" s="2">
        <f>IF(P171&gt;=20,"High-value beta",IF(P171&gt;=15,"Beta candidate",IF(P171&gt;=10,"Waitlist","Nurture")))</f>
        <v/>
      </c>
      <c r="R171" s="2" t="n"/>
      <c r="S171" s="2" t="n"/>
      <c r="T171" s="2" t="n"/>
      <c r="U171" s="2" t="n"/>
      <c r="V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>
        <f>IF(I172="Weekly",5,IF(I172="Monthly",4,IF(I172="Quarterly",2,IF(I172="Occasional",1,0))))+K172+L172+M172+N172</f>
        <v/>
      </c>
      <c r="Q172" s="2">
        <f>IF(P172&gt;=20,"High-value beta",IF(P172&gt;=15,"Beta candidate",IF(P172&gt;=10,"Waitlist","Nurture")))</f>
        <v/>
      </c>
      <c r="R172" s="2" t="n"/>
      <c r="S172" s="2" t="n"/>
      <c r="T172" s="2" t="n"/>
      <c r="U172" s="2" t="n"/>
      <c r="V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>
        <f>IF(I173="Weekly",5,IF(I173="Monthly",4,IF(I173="Quarterly",2,IF(I173="Occasional",1,0))))+K173+L173+M173+N173</f>
        <v/>
      </c>
      <c r="Q173" s="2">
        <f>IF(P173&gt;=20,"High-value beta",IF(P173&gt;=15,"Beta candidate",IF(P173&gt;=10,"Waitlist","Nurture")))</f>
        <v/>
      </c>
      <c r="R173" s="2" t="n"/>
      <c r="S173" s="2" t="n"/>
      <c r="T173" s="2" t="n"/>
      <c r="U173" s="2" t="n"/>
      <c r="V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>
        <f>IF(I174="Weekly",5,IF(I174="Monthly",4,IF(I174="Quarterly",2,IF(I174="Occasional",1,0))))+K174+L174+M174+N174</f>
        <v/>
      </c>
      <c r="Q174" s="2">
        <f>IF(P174&gt;=20,"High-value beta",IF(P174&gt;=15,"Beta candidate",IF(P174&gt;=10,"Waitlist","Nurture")))</f>
        <v/>
      </c>
      <c r="R174" s="2" t="n"/>
      <c r="S174" s="2" t="n"/>
      <c r="T174" s="2" t="n"/>
      <c r="U174" s="2" t="n"/>
      <c r="V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>
        <f>IF(I175="Weekly",5,IF(I175="Monthly",4,IF(I175="Quarterly",2,IF(I175="Occasional",1,0))))+K175+L175+M175+N175</f>
        <v/>
      </c>
      <c r="Q175" s="2">
        <f>IF(P175&gt;=20,"High-value beta",IF(P175&gt;=15,"Beta candidate",IF(P175&gt;=10,"Waitlist","Nurture")))</f>
        <v/>
      </c>
      <c r="R175" s="2" t="n"/>
      <c r="S175" s="2" t="n"/>
      <c r="T175" s="2" t="n"/>
      <c r="U175" s="2" t="n"/>
      <c r="V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>
        <f>IF(I176="Weekly",5,IF(I176="Monthly",4,IF(I176="Quarterly",2,IF(I176="Occasional",1,0))))+K176+L176+M176+N176</f>
        <v/>
      </c>
      <c r="Q176" s="2">
        <f>IF(P176&gt;=20,"High-value beta",IF(P176&gt;=15,"Beta candidate",IF(P176&gt;=10,"Waitlist","Nurture")))</f>
        <v/>
      </c>
      <c r="R176" s="2" t="n"/>
      <c r="S176" s="2" t="n"/>
      <c r="T176" s="2" t="n"/>
      <c r="U176" s="2" t="n"/>
      <c r="V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>
        <f>IF(I177="Weekly",5,IF(I177="Monthly",4,IF(I177="Quarterly",2,IF(I177="Occasional",1,0))))+K177+L177+M177+N177</f>
        <v/>
      </c>
      <c r="Q177" s="2">
        <f>IF(P177&gt;=20,"High-value beta",IF(P177&gt;=15,"Beta candidate",IF(P177&gt;=10,"Waitlist","Nurture")))</f>
        <v/>
      </c>
      <c r="R177" s="2" t="n"/>
      <c r="S177" s="2" t="n"/>
      <c r="T177" s="2" t="n"/>
      <c r="U177" s="2" t="n"/>
      <c r="V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>
        <f>IF(I178="Weekly",5,IF(I178="Monthly",4,IF(I178="Quarterly",2,IF(I178="Occasional",1,0))))+K178+L178+M178+N178</f>
        <v/>
      </c>
      <c r="Q178" s="2">
        <f>IF(P178&gt;=20,"High-value beta",IF(P178&gt;=15,"Beta candidate",IF(P178&gt;=10,"Waitlist","Nurture")))</f>
        <v/>
      </c>
      <c r="R178" s="2" t="n"/>
      <c r="S178" s="2" t="n"/>
      <c r="T178" s="2" t="n"/>
      <c r="U178" s="2" t="n"/>
      <c r="V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>
        <f>IF(I179="Weekly",5,IF(I179="Monthly",4,IF(I179="Quarterly",2,IF(I179="Occasional",1,0))))+K179+L179+M179+N179</f>
        <v/>
      </c>
      <c r="Q179" s="2">
        <f>IF(P179&gt;=20,"High-value beta",IF(P179&gt;=15,"Beta candidate",IF(P179&gt;=10,"Waitlist","Nurture")))</f>
        <v/>
      </c>
      <c r="R179" s="2" t="n"/>
      <c r="S179" s="2" t="n"/>
      <c r="T179" s="2" t="n"/>
      <c r="U179" s="2" t="n"/>
      <c r="V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>
        <f>IF(I180="Weekly",5,IF(I180="Monthly",4,IF(I180="Quarterly",2,IF(I180="Occasional",1,0))))+K180+L180+M180+N180</f>
        <v/>
      </c>
      <c r="Q180" s="2">
        <f>IF(P180&gt;=20,"High-value beta",IF(P180&gt;=15,"Beta candidate",IF(P180&gt;=10,"Waitlist","Nurture")))</f>
        <v/>
      </c>
      <c r="R180" s="2" t="n"/>
      <c r="S180" s="2" t="n"/>
      <c r="T180" s="2" t="n"/>
      <c r="U180" s="2" t="n"/>
      <c r="V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>
        <f>IF(I181="Weekly",5,IF(I181="Monthly",4,IF(I181="Quarterly",2,IF(I181="Occasional",1,0))))+K181+L181+M181+N181</f>
        <v/>
      </c>
      <c r="Q181" s="2">
        <f>IF(P181&gt;=20,"High-value beta",IF(P181&gt;=15,"Beta candidate",IF(P181&gt;=10,"Waitlist","Nurture")))</f>
        <v/>
      </c>
      <c r="R181" s="2" t="n"/>
      <c r="S181" s="2" t="n"/>
      <c r="T181" s="2" t="n"/>
      <c r="U181" s="2" t="n"/>
      <c r="V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>
        <f>IF(I182="Weekly",5,IF(I182="Monthly",4,IF(I182="Quarterly",2,IF(I182="Occasional",1,0))))+K182+L182+M182+N182</f>
        <v/>
      </c>
      <c r="Q182" s="2">
        <f>IF(P182&gt;=20,"High-value beta",IF(P182&gt;=15,"Beta candidate",IF(P182&gt;=10,"Waitlist","Nurture")))</f>
        <v/>
      </c>
      <c r="R182" s="2" t="n"/>
      <c r="S182" s="2" t="n"/>
      <c r="T182" s="2" t="n"/>
      <c r="U182" s="2" t="n"/>
      <c r="V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>
        <f>IF(I183="Weekly",5,IF(I183="Monthly",4,IF(I183="Quarterly",2,IF(I183="Occasional",1,0))))+K183+L183+M183+N183</f>
        <v/>
      </c>
      <c r="Q183" s="2">
        <f>IF(P183&gt;=20,"High-value beta",IF(P183&gt;=15,"Beta candidate",IF(P183&gt;=10,"Waitlist","Nurture")))</f>
        <v/>
      </c>
      <c r="R183" s="2" t="n"/>
      <c r="S183" s="2" t="n"/>
      <c r="T183" s="2" t="n"/>
      <c r="U183" s="2" t="n"/>
      <c r="V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>
        <f>IF(I184="Weekly",5,IF(I184="Monthly",4,IF(I184="Quarterly",2,IF(I184="Occasional",1,0))))+K184+L184+M184+N184</f>
        <v/>
      </c>
      <c r="Q184" s="2">
        <f>IF(P184&gt;=20,"High-value beta",IF(P184&gt;=15,"Beta candidate",IF(P184&gt;=10,"Waitlist","Nurture")))</f>
        <v/>
      </c>
      <c r="R184" s="2" t="n"/>
      <c r="S184" s="2" t="n"/>
      <c r="T184" s="2" t="n"/>
      <c r="U184" s="2" t="n"/>
      <c r="V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>
        <f>IF(I185="Weekly",5,IF(I185="Monthly",4,IF(I185="Quarterly",2,IF(I185="Occasional",1,0))))+K185+L185+M185+N185</f>
        <v/>
      </c>
      <c r="Q185" s="2">
        <f>IF(P185&gt;=20,"High-value beta",IF(P185&gt;=15,"Beta candidate",IF(P185&gt;=10,"Waitlist","Nurture")))</f>
        <v/>
      </c>
      <c r="R185" s="2" t="n"/>
      <c r="S185" s="2" t="n"/>
      <c r="T185" s="2" t="n"/>
      <c r="U185" s="2" t="n"/>
      <c r="V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>
        <f>IF(I186="Weekly",5,IF(I186="Monthly",4,IF(I186="Quarterly",2,IF(I186="Occasional",1,0))))+K186+L186+M186+N186</f>
        <v/>
      </c>
      <c r="Q186" s="2">
        <f>IF(P186&gt;=20,"High-value beta",IF(P186&gt;=15,"Beta candidate",IF(P186&gt;=10,"Waitlist","Nurture")))</f>
        <v/>
      </c>
      <c r="R186" s="2" t="n"/>
      <c r="S186" s="2" t="n"/>
      <c r="T186" s="2" t="n"/>
      <c r="U186" s="2" t="n"/>
      <c r="V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>
        <f>IF(I187="Weekly",5,IF(I187="Monthly",4,IF(I187="Quarterly",2,IF(I187="Occasional",1,0))))+K187+L187+M187+N187</f>
        <v/>
      </c>
      <c r="Q187" s="2">
        <f>IF(P187&gt;=20,"High-value beta",IF(P187&gt;=15,"Beta candidate",IF(P187&gt;=10,"Waitlist","Nurture")))</f>
        <v/>
      </c>
      <c r="R187" s="2" t="n"/>
      <c r="S187" s="2" t="n"/>
      <c r="T187" s="2" t="n"/>
      <c r="U187" s="2" t="n"/>
      <c r="V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>
        <f>IF(I188="Weekly",5,IF(I188="Monthly",4,IF(I188="Quarterly",2,IF(I188="Occasional",1,0))))+K188+L188+M188+N188</f>
        <v/>
      </c>
      <c r="Q188" s="2">
        <f>IF(P188&gt;=20,"High-value beta",IF(P188&gt;=15,"Beta candidate",IF(P188&gt;=10,"Waitlist","Nurture")))</f>
        <v/>
      </c>
      <c r="R188" s="2" t="n"/>
      <c r="S188" s="2" t="n"/>
      <c r="T188" s="2" t="n"/>
      <c r="U188" s="2" t="n"/>
      <c r="V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>
        <f>IF(I189="Weekly",5,IF(I189="Monthly",4,IF(I189="Quarterly",2,IF(I189="Occasional",1,0))))+K189+L189+M189+N189</f>
        <v/>
      </c>
      <c r="Q189" s="2">
        <f>IF(P189&gt;=20,"High-value beta",IF(P189&gt;=15,"Beta candidate",IF(P189&gt;=10,"Waitlist","Nurture")))</f>
        <v/>
      </c>
      <c r="R189" s="2" t="n"/>
      <c r="S189" s="2" t="n"/>
      <c r="T189" s="2" t="n"/>
      <c r="U189" s="2" t="n"/>
      <c r="V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>
        <f>IF(I190="Weekly",5,IF(I190="Monthly",4,IF(I190="Quarterly",2,IF(I190="Occasional",1,0))))+K190+L190+M190+N190</f>
        <v/>
      </c>
      <c r="Q190" s="2">
        <f>IF(P190&gt;=20,"High-value beta",IF(P190&gt;=15,"Beta candidate",IF(P190&gt;=10,"Waitlist","Nurture")))</f>
        <v/>
      </c>
      <c r="R190" s="2" t="n"/>
      <c r="S190" s="2" t="n"/>
      <c r="T190" s="2" t="n"/>
      <c r="U190" s="2" t="n"/>
      <c r="V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>
        <f>IF(I191="Weekly",5,IF(I191="Monthly",4,IF(I191="Quarterly",2,IF(I191="Occasional",1,0))))+K191+L191+M191+N191</f>
        <v/>
      </c>
      <c r="Q191" s="2">
        <f>IF(P191&gt;=20,"High-value beta",IF(P191&gt;=15,"Beta candidate",IF(P191&gt;=10,"Waitlist","Nurture")))</f>
        <v/>
      </c>
      <c r="R191" s="2" t="n"/>
      <c r="S191" s="2" t="n"/>
      <c r="T191" s="2" t="n"/>
      <c r="U191" s="2" t="n"/>
      <c r="V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>
        <f>IF(I192="Weekly",5,IF(I192="Monthly",4,IF(I192="Quarterly",2,IF(I192="Occasional",1,0))))+K192+L192+M192+N192</f>
        <v/>
      </c>
      <c r="Q192" s="2">
        <f>IF(P192&gt;=20,"High-value beta",IF(P192&gt;=15,"Beta candidate",IF(P192&gt;=10,"Waitlist","Nurture")))</f>
        <v/>
      </c>
      <c r="R192" s="2" t="n"/>
      <c r="S192" s="2" t="n"/>
      <c r="T192" s="2" t="n"/>
      <c r="U192" s="2" t="n"/>
      <c r="V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>
        <f>IF(I193="Weekly",5,IF(I193="Monthly",4,IF(I193="Quarterly",2,IF(I193="Occasional",1,0))))+K193+L193+M193+N193</f>
        <v/>
      </c>
      <c r="Q193" s="2">
        <f>IF(P193&gt;=20,"High-value beta",IF(P193&gt;=15,"Beta candidate",IF(P193&gt;=10,"Waitlist","Nurture")))</f>
        <v/>
      </c>
      <c r="R193" s="2" t="n"/>
      <c r="S193" s="2" t="n"/>
      <c r="T193" s="2" t="n"/>
      <c r="U193" s="2" t="n"/>
      <c r="V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>
        <f>IF(I194="Weekly",5,IF(I194="Monthly",4,IF(I194="Quarterly",2,IF(I194="Occasional",1,0))))+K194+L194+M194+N194</f>
        <v/>
      </c>
      <c r="Q194" s="2">
        <f>IF(P194&gt;=20,"High-value beta",IF(P194&gt;=15,"Beta candidate",IF(P194&gt;=10,"Waitlist","Nurture")))</f>
        <v/>
      </c>
      <c r="R194" s="2" t="n"/>
      <c r="S194" s="2" t="n"/>
      <c r="T194" s="2" t="n"/>
      <c r="U194" s="2" t="n"/>
      <c r="V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>
        <f>IF(I195="Weekly",5,IF(I195="Monthly",4,IF(I195="Quarterly",2,IF(I195="Occasional",1,0))))+K195+L195+M195+N195</f>
        <v/>
      </c>
      <c r="Q195" s="2">
        <f>IF(P195&gt;=20,"High-value beta",IF(P195&gt;=15,"Beta candidate",IF(P195&gt;=10,"Waitlist","Nurture")))</f>
        <v/>
      </c>
      <c r="R195" s="2" t="n"/>
      <c r="S195" s="2" t="n"/>
      <c r="T195" s="2" t="n"/>
      <c r="U195" s="2" t="n"/>
      <c r="V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>
        <f>IF(I196="Weekly",5,IF(I196="Monthly",4,IF(I196="Quarterly",2,IF(I196="Occasional",1,0))))+K196+L196+M196+N196</f>
        <v/>
      </c>
      <c r="Q196" s="2">
        <f>IF(P196&gt;=20,"High-value beta",IF(P196&gt;=15,"Beta candidate",IF(P196&gt;=10,"Waitlist","Nurture")))</f>
        <v/>
      </c>
      <c r="R196" s="2" t="n"/>
      <c r="S196" s="2" t="n"/>
      <c r="T196" s="2" t="n"/>
      <c r="U196" s="2" t="n"/>
      <c r="V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>
        <f>IF(I197="Weekly",5,IF(I197="Monthly",4,IF(I197="Quarterly",2,IF(I197="Occasional",1,0))))+K197+L197+M197+N197</f>
        <v/>
      </c>
      <c r="Q197" s="2">
        <f>IF(P197&gt;=20,"High-value beta",IF(P197&gt;=15,"Beta candidate",IF(P197&gt;=10,"Waitlist","Nurture")))</f>
        <v/>
      </c>
      <c r="R197" s="2" t="n"/>
      <c r="S197" s="2" t="n"/>
      <c r="T197" s="2" t="n"/>
      <c r="U197" s="2" t="n"/>
      <c r="V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>
        <f>IF(I198="Weekly",5,IF(I198="Monthly",4,IF(I198="Quarterly",2,IF(I198="Occasional",1,0))))+K198+L198+M198+N198</f>
        <v/>
      </c>
      <c r="Q198" s="2">
        <f>IF(P198&gt;=20,"High-value beta",IF(P198&gt;=15,"Beta candidate",IF(P198&gt;=10,"Waitlist","Nurture")))</f>
        <v/>
      </c>
      <c r="R198" s="2" t="n"/>
      <c r="S198" s="2" t="n"/>
      <c r="T198" s="2" t="n"/>
      <c r="U198" s="2" t="n"/>
      <c r="V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>
        <f>IF(I199="Weekly",5,IF(I199="Monthly",4,IF(I199="Quarterly",2,IF(I199="Occasional",1,0))))+K199+L199+M199+N199</f>
        <v/>
      </c>
      <c r="Q199" s="2">
        <f>IF(P199&gt;=20,"High-value beta",IF(P199&gt;=15,"Beta candidate",IF(P199&gt;=10,"Waitlist","Nurture")))</f>
        <v/>
      </c>
      <c r="R199" s="2" t="n"/>
      <c r="S199" s="2" t="n"/>
      <c r="T199" s="2" t="n"/>
      <c r="U199" s="2" t="n"/>
      <c r="V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>
        <f>IF(I200="Weekly",5,IF(I200="Monthly",4,IF(I200="Quarterly",2,IF(I200="Occasional",1,0))))+K200+L200+M200+N200</f>
        <v/>
      </c>
      <c r="Q200" s="2">
        <f>IF(P200&gt;=20,"High-value beta",IF(P200&gt;=15,"Beta candidate",IF(P200&gt;=10,"Waitlist","Nurture")))</f>
        <v/>
      </c>
      <c r="R200" s="2" t="n"/>
      <c r="S200" s="2" t="n"/>
      <c r="T200" s="2" t="n"/>
      <c r="U200" s="2" t="n"/>
      <c r="V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>
        <f>IF(I201="Weekly",5,IF(I201="Monthly",4,IF(I201="Quarterly",2,IF(I201="Occasional",1,0))))+K201+L201+M201+N201</f>
        <v/>
      </c>
      <c r="Q201" s="2">
        <f>IF(P201&gt;=20,"High-value beta",IF(P201&gt;=15,"Beta candidate",IF(P201&gt;=10,"Waitlist","Nurture")))</f>
        <v/>
      </c>
      <c r="R201" s="2" t="n"/>
      <c r="S201" s="2" t="n"/>
      <c r="T201" s="2" t="n"/>
      <c r="U201" s="2" t="n"/>
      <c r="V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>
        <f>IF(I202="Weekly",5,IF(I202="Monthly",4,IF(I202="Quarterly",2,IF(I202="Occasional",1,0))))+K202+L202+M202+N202</f>
        <v/>
      </c>
      <c r="Q202" s="2">
        <f>IF(P202&gt;=20,"High-value beta",IF(P202&gt;=15,"Beta candidate",IF(P202&gt;=10,"Waitlist","Nurture")))</f>
        <v/>
      </c>
      <c r="R202" s="2" t="n"/>
      <c r="S202" s="2" t="n"/>
      <c r="T202" s="2" t="n"/>
      <c r="U202" s="2" t="n"/>
      <c r="V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>
        <f>IF(I203="Weekly",5,IF(I203="Monthly",4,IF(I203="Quarterly",2,IF(I203="Occasional",1,0))))+K203+L203+M203+N203</f>
        <v/>
      </c>
      <c r="Q203" s="2">
        <f>IF(P203&gt;=20,"High-value beta",IF(P203&gt;=15,"Beta candidate",IF(P203&gt;=10,"Waitlist","Nurture")))</f>
        <v/>
      </c>
      <c r="R203" s="2" t="n"/>
      <c r="S203" s="2" t="n"/>
      <c r="T203" s="2" t="n"/>
      <c r="U203" s="2" t="n"/>
      <c r="V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>
        <f>IF(I204="Weekly",5,IF(I204="Monthly",4,IF(I204="Quarterly",2,IF(I204="Occasional",1,0))))+K204+L204+M204+N204</f>
        <v/>
      </c>
      <c r="Q204" s="2">
        <f>IF(P204&gt;=20,"High-value beta",IF(P204&gt;=15,"Beta candidate",IF(P204&gt;=10,"Waitlist","Nurture")))</f>
        <v/>
      </c>
      <c r="R204" s="2" t="n"/>
      <c r="S204" s="2" t="n"/>
      <c r="T204" s="2" t="n"/>
      <c r="U204" s="2" t="n"/>
      <c r="V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>
        <f>IF(I205="Weekly",5,IF(I205="Monthly",4,IF(I205="Quarterly",2,IF(I205="Occasional",1,0))))+K205+L205+M205+N205</f>
        <v/>
      </c>
      <c r="Q205" s="2">
        <f>IF(P205&gt;=20,"High-value beta",IF(P205&gt;=15,"Beta candidate",IF(P205&gt;=10,"Waitlist","Nurture")))</f>
        <v/>
      </c>
      <c r="R205" s="2" t="n"/>
      <c r="S205" s="2" t="n"/>
      <c r="T205" s="2" t="n"/>
      <c r="U205" s="2" t="n"/>
      <c r="V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>
        <f>IF(I206="Weekly",5,IF(I206="Monthly",4,IF(I206="Quarterly",2,IF(I206="Occasional",1,0))))+K206+L206+M206+N206</f>
        <v/>
      </c>
      <c r="Q206" s="2">
        <f>IF(P206&gt;=20,"High-value beta",IF(P206&gt;=15,"Beta candidate",IF(P206&gt;=10,"Waitlist","Nurture")))</f>
        <v/>
      </c>
      <c r="R206" s="2" t="n"/>
      <c r="S206" s="2" t="n"/>
      <c r="T206" s="2" t="n"/>
      <c r="U206" s="2" t="n"/>
      <c r="V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>
        <f>IF(I207="Weekly",5,IF(I207="Monthly",4,IF(I207="Quarterly",2,IF(I207="Occasional",1,0))))+K207+L207+M207+N207</f>
        <v/>
      </c>
      <c r="Q207" s="2">
        <f>IF(P207&gt;=20,"High-value beta",IF(P207&gt;=15,"Beta candidate",IF(P207&gt;=10,"Waitlist","Nurture")))</f>
        <v/>
      </c>
      <c r="R207" s="2" t="n"/>
      <c r="S207" s="2" t="n"/>
      <c r="T207" s="2" t="n"/>
      <c r="U207" s="2" t="n"/>
      <c r="V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>
        <f>IF(I208="Weekly",5,IF(I208="Monthly",4,IF(I208="Quarterly",2,IF(I208="Occasional",1,0))))+K208+L208+M208+N208</f>
        <v/>
      </c>
      <c r="Q208" s="2">
        <f>IF(P208&gt;=20,"High-value beta",IF(P208&gt;=15,"Beta candidate",IF(P208&gt;=10,"Waitlist","Nurture")))</f>
        <v/>
      </c>
      <c r="R208" s="2" t="n"/>
      <c r="S208" s="2" t="n"/>
      <c r="T208" s="2" t="n"/>
      <c r="U208" s="2" t="n"/>
      <c r="V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>
        <f>IF(I209="Weekly",5,IF(I209="Monthly",4,IF(I209="Quarterly",2,IF(I209="Occasional",1,0))))+K209+L209+M209+N209</f>
        <v/>
      </c>
      <c r="Q209" s="2">
        <f>IF(P209&gt;=20,"High-value beta",IF(P209&gt;=15,"Beta candidate",IF(P209&gt;=10,"Waitlist","Nurture")))</f>
        <v/>
      </c>
      <c r="R209" s="2" t="n"/>
      <c r="S209" s="2" t="n"/>
      <c r="T209" s="2" t="n"/>
      <c r="U209" s="2" t="n"/>
      <c r="V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>
        <f>IF(I210="Weekly",5,IF(I210="Monthly",4,IF(I210="Quarterly",2,IF(I210="Occasional",1,0))))+K210+L210+M210+N210</f>
        <v/>
      </c>
      <c r="Q210" s="2">
        <f>IF(P210&gt;=20,"High-value beta",IF(P210&gt;=15,"Beta candidate",IF(P210&gt;=10,"Waitlist","Nurture")))</f>
        <v/>
      </c>
      <c r="R210" s="2" t="n"/>
      <c r="S210" s="2" t="n"/>
      <c r="T210" s="2" t="n"/>
      <c r="U210" s="2" t="n"/>
      <c r="V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>
        <f>IF(I211="Weekly",5,IF(I211="Monthly",4,IF(I211="Quarterly",2,IF(I211="Occasional",1,0))))+K211+L211+M211+N211</f>
        <v/>
      </c>
      <c r="Q211" s="2">
        <f>IF(P211&gt;=20,"High-value beta",IF(P211&gt;=15,"Beta candidate",IF(P211&gt;=10,"Waitlist","Nurture")))</f>
        <v/>
      </c>
      <c r="R211" s="2" t="n"/>
      <c r="S211" s="2" t="n"/>
      <c r="T211" s="2" t="n"/>
      <c r="U211" s="2" t="n"/>
      <c r="V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>
        <f>IF(I212="Weekly",5,IF(I212="Monthly",4,IF(I212="Quarterly",2,IF(I212="Occasional",1,0))))+K212+L212+M212+N212</f>
        <v/>
      </c>
      <c r="Q212" s="2">
        <f>IF(P212&gt;=20,"High-value beta",IF(P212&gt;=15,"Beta candidate",IF(P212&gt;=10,"Waitlist","Nurture")))</f>
        <v/>
      </c>
      <c r="R212" s="2" t="n"/>
      <c r="S212" s="2" t="n"/>
      <c r="T212" s="2" t="n"/>
      <c r="U212" s="2" t="n"/>
      <c r="V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>
        <f>IF(I213="Weekly",5,IF(I213="Monthly",4,IF(I213="Quarterly",2,IF(I213="Occasional",1,0))))+K213+L213+M213+N213</f>
        <v/>
      </c>
      <c r="Q213" s="2">
        <f>IF(P213&gt;=20,"High-value beta",IF(P213&gt;=15,"Beta candidate",IF(P213&gt;=10,"Waitlist","Nurture")))</f>
        <v/>
      </c>
      <c r="R213" s="2" t="n"/>
      <c r="S213" s="2" t="n"/>
      <c r="T213" s="2" t="n"/>
      <c r="U213" s="2" t="n"/>
      <c r="V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>
        <f>IF(I214="Weekly",5,IF(I214="Monthly",4,IF(I214="Quarterly",2,IF(I214="Occasional",1,0))))+K214+L214+M214+N214</f>
        <v/>
      </c>
      <c r="Q214" s="2">
        <f>IF(P214&gt;=20,"High-value beta",IF(P214&gt;=15,"Beta candidate",IF(P214&gt;=10,"Waitlist","Nurture")))</f>
        <v/>
      </c>
      <c r="R214" s="2" t="n"/>
      <c r="S214" s="2" t="n"/>
      <c r="T214" s="2" t="n"/>
      <c r="U214" s="2" t="n"/>
      <c r="V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>
        <f>IF(I215="Weekly",5,IF(I215="Monthly",4,IF(I215="Quarterly",2,IF(I215="Occasional",1,0))))+K215+L215+M215+N215</f>
        <v/>
      </c>
      <c r="Q215" s="2">
        <f>IF(P215&gt;=20,"High-value beta",IF(P215&gt;=15,"Beta candidate",IF(P215&gt;=10,"Waitlist","Nurture")))</f>
        <v/>
      </c>
      <c r="R215" s="2" t="n"/>
      <c r="S215" s="2" t="n"/>
      <c r="T215" s="2" t="n"/>
      <c r="U215" s="2" t="n"/>
      <c r="V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>
        <f>IF(I216="Weekly",5,IF(I216="Monthly",4,IF(I216="Quarterly",2,IF(I216="Occasional",1,0))))+K216+L216+M216+N216</f>
        <v/>
      </c>
      <c r="Q216" s="2">
        <f>IF(P216&gt;=20,"High-value beta",IF(P216&gt;=15,"Beta candidate",IF(P216&gt;=10,"Waitlist","Nurture")))</f>
        <v/>
      </c>
      <c r="R216" s="2" t="n"/>
      <c r="S216" s="2" t="n"/>
      <c r="T216" s="2" t="n"/>
      <c r="U216" s="2" t="n"/>
      <c r="V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>
        <f>IF(I217="Weekly",5,IF(I217="Monthly",4,IF(I217="Quarterly",2,IF(I217="Occasional",1,0))))+K217+L217+M217+N217</f>
        <v/>
      </c>
      <c r="Q217" s="2">
        <f>IF(P217&gt;=20,"High-value beta",IF(P217&gt;=15,"Beta candidate",IF(P217&gt;=10,"Waitlist","Nurture")))</f>
        <v/>
      </c>
      <c r="R217" s="2" t="n"/>
      <c r="S217" s="2" t="n"/>
      <c r="T217" s="2" t="n"/>
      <c r="U217" s="2" t="n"/>
      <c r="V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>
        <f>IF(I218="Weekly",5,IF(I218="Monthly",4,IF(I218="Quarterly",2,IF(I218="Occasional",1,0))))+K218+L218+M218+N218</f>
        <v/>
      </c>
      <c r="Q218" s="2">
        <f>IF(P218&gt;=20,"High-value beta",IF(P218&gt;=15,"Beta candidate",IF(P218&gt;=10,"Waitlist","Nurture")))</f>
        <v/>
      </c>
      <c r="R218" s="2" t="n"/>
      <c r="S218" s="2" t="n"/>
      <c r="T218" s="2" t="n"/>
      <c r="U218" s="2" t="n"/>
      <c r="V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>
        <f>IF(I219="Weekly",5,IF(I219="Monthly",4,IF(I219="Quarterly",2,IF(I219="Occasional",1,0))))+K219+L219+M219+N219</f>
        <v/>
      </c>
      <c r="Q219" s="2">
        <f>IF(P219&gt;=20,"High-value beta",IF(P219&gt;=15,"Beta candidate",IF(P219&gt;=10,"Waitlist","Nurture")))</f>
        <v/>
      </c>
      <c r="R219" s="2" t="n"/>
      <c r="S219" s="2" t="n"/>
      <c r="T219" s="2" t="n"/>
      <c r="U219" s="2" t="n"/>
      <c r="V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>
        <f>IF(I220="Weekly",5,IF(I220="Monthly",4,IF(I220="Quarterly",2,IF(I220="Occasional",1,0))))+K220+L220+M220+N220</f>
        <v/>
      </c>
      <c r="Q220" s="2">
        <f>IF(P220&gt;=20,"High-value beta",IF(P220&gt;=15,"Beta candidate",IF(P220&gt;=10,"Waitlist","Nurture")))</f>
        <v/>
      </c>
      <c r="R220" s="2" t="n"/>
      <c r="S220" s="2" t="n"/>
      <c r="T220" s="2" t="n"/>
      <c r="U220" s="2" t="n"/>
      <c r="V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>
        <f>IF(I221="Weekly",5,IF(I221="Monthly",4,IF(I221="Quarterly",2,IF(I221="Occasional",1,0))))+K221+L221+M221+N221</f>
        <v/>
      </c>
      <c r="Q221" s="2">
        <f>IF(P221&gt;=20,"High-value beta",IF(P221&gt;=15,"Beta candidate",IF(P221&gt;=10,"Waitlist","Nurture")))</f>
        <v/>
      </c>
      <c r="R221" s="2" t="n"/>
      <c r="S221" s="2" t="n"/>
      <c r="T221" s="2" t="n"/>
      <c r="U221" s="2" t="n"/>
      <c r="V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>
        <f>IF(I222="Weekly",5,IF(I222="Monthly",4,IF(I222="Quarterly",2,IF(I222="Occasional",1,0))))+K222+L222+M222+N222</f>
        <v/>
      </c>
      <c r="Q222" s="2">
        <f>IF(P222&gt;=20,"High-value beta",IF(P222&gt;=15,"Beta candidate",IF(P222&gt;=10,"Waitlist","Nurture")))</f>
        <v/>
      </c>
      <c r="R222" s="2" t="n"/>
      <c r="S222" s="2" t="n"/>
      <c r="T222" s="2" t="n"/>
      <c r="U222" s="2" t="n"/>
      <c r="V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>
        <f>IF(I223="Weekly",5,IF(I223="Monthly",4,IF(I223="Quarterly",2,IF(I223="Occasional",1,0))))+K223+L223+M223+N223</f>
        <v/>
      </c>
      <c r="Q223" s="2">
        <f>IF(P223&gt;=20,"High-value beta",IF(P223&gt;=15,"Beta candidate",IF(P223&gt;=10,"Waitlist","Nurture")))</f>
        <v/>
      </c>
      <c r="R223" s="2" t="n"/>
      <c r="S223" s="2" t="n"/>
      <c r="T223" s="2" t="n"/>
      <c r="U223" s="2" t="n"/>
      <c r="V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>
        <f>IF(I224="Weekly",5,IF(I224="Monthly",4,IF(I224="Quarterly",2,IF(I224="Occasional",1,0))))+K224+L224+M224+N224</f>
        <v/>
      </c>
      <c r="Q224" s="2">
        <f>IF(P224&gt;=20,"High-value beta",IF(P224&gt;=15,"Beta candidate",IF(P224&gt;=10,"Waitlist","Nurture")))</f>
        <v/>
      </c>
      <c r="R224" s="2" t="n"/>
      <c r="S224" s="2" t="n"/>
      <c r="T224" s="2" t="n"/>
      <c r="U224" s="2" t="n"/>
      <c r="V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>
        <f>IF(I225="Weekly",5,IF(I225="Monthly",4,IF(I225="Quarterly",2,IF(I225="Occasional",1,0))))+K225+L225+M225+N225</f>
        <v/>
      </c>
      <c r="Q225" s="2">
        <f>IF(P225&gt;=20,"High-value beta",IF(P225&gt;=15,"Beta candidate",IF(P225&gt;=10,"Waitlist","Nurture")))</f>
        <v/>
      </c>
      <c r="R225" s="2" t="n"/>
      <c r="S225" s="2" t="n"/>
      <c r="T225" s="2" t="n"/>
      <c r="U225" s="2" t="n"/>
      <c r="V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>
        <f>IF(I226="Weekly",5,IF(I226="Monthly",4,IF(I226="Quarterly",2,IF(I226="Occasional",1,0))))+K226+L226+M226+N226</f>
        <v/>
      </c>
      <c r="Q226" s="2">
        <f>IF(P226&gt;=20,"High-value beta",IF(P226&gt;=15,"Beta candidate",IF(P226&gt;=10,"Waitlist","Nurture")))</f>
        <v/>
      </c>
      <c r="R226" s="2" t="n"/>
      <c r="S226" s="2" t="n"/>
      <c r="T226" s="2" t="n"/>
      <c r="U226" s="2" t="n"/>
      <c r="V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>
        <f>IF(I227="Weekly",5,IF(I227="Monthly",4,IF(I227="Quarterly",2,IF(I227="Occasional",1,0))))+K227+L227+M227+N227</f>
        <v/>
      </c>
      <c r="Q227" s="2">
        <f>IF(P227&gt;=20,"High-value beta",IF(P227&gt;=15,"Beta candidate",IF(P227&gt;=10,"Waitlist","Nurture")))</f>
        <v/>
      </c>
      <c r="R227" s="2" t="n"/>
      <c r="S227" s="2" t="n"/>
      <c r="T227" s="2" t="n"/>
      <c r="U227" s="2" t="n"/>
      <c r="V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>
        <f>IF(I228="Weekly",5,IF(I228="Monthly",4,IF(I228="Quarterly",2,IF(I228="Occasional",1,0))))+K228+L228+M228+N228</f>
        <v/>
      </c>
      <c r="Q228" s="2">
        <f>IF(P228&gt;=20,"High-value beta",IF(P228&gt;=15,"Beta candidate",IF(P228&gt;=10,"Waitlist","Nurture")))</f>
        <v/>
      </c>
      <c r="R228" s="2" t="n"/>
      <c r="S228" s="2" t="n"/>
      <c r="T228" s="2" t="n"/>
      <c r="U228" s="2" t="n"/>
      <c r="V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>
        <f>IF(I229="Weekly",5,IF(I229="Monthly",4,IF(I229="Quarterly",2,IF(I229="Occasional",1,0))))+K229+L229+M229+N229</f>
        <v/>
      </c>
      <c r="Q229" s="2">
        <f>IF(P229&gt;=20,"High-value beta",IF(P229&gt;=15,"Beta candidate",IF(P229&gt;=10,"Waitlist","Nurture")))</f>
        <v/>
      </c>
      <c r="R229" s="2" t="n"/>
      <c r="S229" s="2" t="n"/>
      <c r="T229" s="2" t="n"/>
      <c r="U229" s="2" t="n"/>
      <c r="V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>
        <f>IF(I230="Weekly",5,IF(I230="Monthly",4,IF(I230="Quarterly",2,IF(I230="Occasional",1,0))))+K230+L230+M230+N230</f>
        <v/>
      </c>
      <c r="Q230" s="2">
        <f>IF(P230&gt;=20,"High-value beta",IF(P230&gt;=15,"Beta candidate",IF(P230&gt;=10,"Waitlist","Nurture")))</f>
        <v/>
      </c>
      <c r="R230" s="2" t="n"/>
      <c r="S230" s="2" t="n"/>
      <c r="T230" s="2" t="n"/>
      <c r="U230" s="2" t="n"/>
      <c r="V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>
        <f>IF(I231="Weekly",5,IF(I231="Monthly",4,IF(I231="Quarterly",2,IF(I231="Occasional",1,0))))+K231+L231+M231+N231</f>
        <v/>
      </c>
      <c r="Q231" s="2">
        <f>IF(P231&gt;=20,"High-value beta",IF(P231&gt;=15,"Beta candidate",IF(P231&gt;=10,"Waitlist","Nurture")))</f>
        <v/>
      </c>
      <c r="R231" s="2" t="n"/>
      <c r="S231" s="2" t="n"/>
      <c r="T231" s="2" t="n"/>
      <c r="U231" s="2" t="n"/>
      <c r="V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>
        <f>IF(I232="Weekly",5,IF(I232="Monthly",4,IF(I232="Quarterly",2,IF(I232="Occasional",1,0))))+K232+L232+M232+N232</f>
        <v/>
      </c>
      <c r="Q232" s="2">
        <f>IF(P232&gt;=20,"High-value beta",IF(P232&gt;=15,"Beta candidate",IF(P232&gt;=10,"Waitlist","Nurture")))</f>
        <v/>
      </c>
      <c r="R232" s="2" t="n"/>
      <c r="S232" s="2" t="n"/>
      <c r="T232" s="2" t="n"/>
      <c r="U232" s="2" t="n"/>
      <c r="V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>
        <f>IF(I233="Weekly",5,IF(I233="Monthly",4,IF(I233="Quarterly",2,IF(I233="Occasional",1,0))))+K233+L233+M233+N233</f>
        <v/>
      </c>
      <c r="Q233" s="2">
        <f>IF(P233&gt;=20,"High-value beta",IF(P233&gt;=15,"Beta candidate",IF(P233&gt;=10,"Waitlist","Nurture")))</f>
        <v/>
      </c>
      <c r="R233" s="2" t="n"/>
      <c r="S233" s="2" t="n"/>
      <c r="T233" s="2" t="n"/>
      <c r="U233" s="2" t="n"/>
      <c r="V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>
        <f>IF(I234="Weekly",5,IF(I234="Monthly",4,IF(I234="Quarterly",2,IF(I234="Occasional",1,0))))+K234+L234+M234+N234</f>
        <v/>
      </c>
      <c r="Q234" s="2">
        <f>IF(P234&gt;=20,"High-value beta",IF(P234&gt;=15,"Beta candidate",IF(P234&gt;=10,"Waitlist","Nurture")))</f>
        <v/>
      </c>
      <c r="R234" s="2" t="n"/>
      <c r="S234" s="2" t="n"/>
      <c r="T234" s="2" t="n"/>
      <c r="U234" s="2" t="n"/>
      <c r="V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>
        <f>IF(I235="Weekly",5,IF(I235="Monthly",4,IF(I235="Quarterly",2,IF(I235="Occasional",1,0))))+K235+L235+M235+N235</f>
        <v/>
      </c>
      <c r="Q235" s="2">
        <f>IF(P235&gt;=20,"High-value beta",IF(P235&gt;=15,"Beta candidate",IF(P235&gt;=10,"Waitlist","Nurture")))</f>
        <v/>
      </c>
      <c r="R235" s="2" t="n"/>
      <c r="S235" s="2" t="n"/>
      <c r="T235" s="2" t="n"/>
      <c r="U235" s="2" t="n"/>
      <c r="V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>
        <f>IF(I236="Weekly",5,IF(I236="Monthly",4,IF(I236="Quarterly",2,IF(I236="Occasional",1,0))))+K236+L236+M236+N236</f>
        <v/>
      </c>
      <c r="Q236" s="2">
        <f>IF(P236&gt;=20,"High-value beta",IF(P236&gt;=15,"Beta candidate",IF(P236&gt;=10,"Waitlist","Nurture")))</f>
        <v/>
      </c>
      <c r="R236" s="2" t="n"/>
      <c r="S236" s="2" t="n"/>
      <c r="T236" s="2" t="n"/>
      <c r="U236" s="2" t="n"/>
      <c r="V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>
        <f>IF(I237="Weekly",5,IF(I237="Monthly",4,IF(I237="Quarterly",2,IF(I237="Occasional",1,0))))+K237+L237+M237+N237</f>
        <v/>
      </c>
      <c r="Q237" s="2">
        <f>IF(P237&gt;=20,"High-value beta",IF(P237&gt;=15,"Beta candidate",IF(P237&gt;=10,"Waitlist","Nurture")))</f>
        <v/>
      </c>
      <c r="R237" s="2" t="n"/>
      <c r="S237" s="2" t="n"/>
      <c r="T237" s="2" t="n"/>
      <c r="U237" s="2" t="n"/>
      <c r="V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>
        <f>IF(I238="Weekly",5,IF(I238="Monthly",4,IF(I238="Quarterly",2,IF(I238="Occasional",1,0))))+K238+L238+M238+N238</f>
        <v/>
      </c>
      <c r="Q238" s="2">
        <f>IF(P238&gt;=20,"High-value beta",IF(P238&gt;=15,"Beta candidate",IF(P238&gt;=10,"Waitlist","Nurture")))</f>
        <v/>
      </c>
      <c r="R238" s="2" t="n"/>
      <c r="S238" s="2" t="n"/>
      <c r="T238" s="2" t="n"/>
      <c r="U238" s="2" t="n"/>
      <c r="V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>
        <f>IF(I239="Weekly",5,IF(I239="Monthly",4,IF(I239="Quarterly",2,IF(I239="Occasional",1,0))))+K239+L239+M239+N239</f>
        <v/>
      </c>
      <c r="Q239" s="2">
        <f>IF(P239&gt;=20,"High-value beta",IF(P239&gt;=15,"Beta candidate",IF(P239&gt;=10,"Waitlist","Nurture")))</f>
        <v/>
      </c>
      <c r="R239" s="2" t="n"/>
      <c r="S239" s="2" t="n"/>
      <c r="T239" s="2" t="n"/>
      <c r="U239" s="2" t="n"/>
      <c r="V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>
        <f>IF(I240="Weekly",5,IF(I240="Monthly",4,IF(I240="Quarterly",2,IF(I240="Occasional",1,0))))+K240+L240+M240+N240</f>
        <v/>
      </c>
      <c r="Q240" s="2">
        <f>IF(P240&gt;=20,"High-value beta",IF(P240&gt;=15,"Beta candidate",IF(P240&gt;=10,"Waitlist","Nurture")))</f>
        <v/>
      </c>
      <c r="R240" s="2" t="n"/>
      <c r="S240" s="2" t="n"/>
      <c r="T240" s="2" t="n"/>
      <c r="U240" s="2" t="n"/>
      <c r="V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>
        <f>IF(I241="Weekly",5,IF(I241="Monthly",4,IF(I241="Quarterly",2,IF(I241="Occasional",1,0))))+K241+L241+M241+N241</f>
        <v/>
      </c>
      <c r="Q241" s="2">
        <f>IF(P241&gt;=20,"High-value beta",IF(P241&gt;=15,"Beta candidate",IF(P241&gt;=10,"Waitlist","Nurture")))</f>
        <v/>
      </c>
      <c r="R241" s="2" t="n"/>
      <c r="S241" s="2" t="n"/>
      <c r="T241" s="2" t="n"/>
      <c r="U241" s="2" t="n"/>
      <c r="V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>
        <f>IF(I242="Weekly",5,IF(I242="Monthly",4,IF(I242="Quarterly",2,IF(I242="Occasional",1,0))))+K242+L242+M242+N242</f>
        <v/>
      </c>
      <c r="Q242" s="2">
        <f>IF(P242&gt;=20,"High-value beta",IF(P242&gt;=15,"Beta candidate",IF(P242&gt;=10,"Waitlist","Nurture")))</f>
        <v/>
      </c>
      <c r="R242" s="2" t="n"/>
      <c r="S242" s="2" t="n"/>
      <c r="T242" s="2" t="n"/>
      <c r="U242" s="2" t="n"/>
      <c r="V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>
        <f>IF(I243="Weekly",5,IF(I243="Monthly",4,IF(I243="Quarterly",2,IF(I243="Occasional",1,0))))+K243+L243+M243+N243</f>
        <v/>
      </c>
      <c r="Q243" s="2">
        <f>IF(P243&gt;=20,"High-value beta",IF(P243&gt;=15,"Beta candidate",IF(P243&gt;=10,"Waitlist","Nurture")))</f>
        <v/>
      </c>
      <c r="R243" s="2" t="n"/>
      <c r="S243" s="2" t="n"/>
      <c r="T243" s="2" t="n"/>
      <c r="U243" s="2" t="n"/>
      <c r="V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>
        <f>IF(I244="Weekly",5,IF(I244="Monthly",4,IF(I244="Quarterly",2,IF(I244="Occasional",1,0))))+K244+L244+M244+N244</f>
        <v/>
      </c>
      <c r="Q244" s="2">
        <f>IF(P244&gt;=20,"High-value beta",IF(P244&gt;=15,"Beta candidate",IF(P244&gt;=10,"Waitlist","Nurture")))</f>
        <v/>
      </c>
      <c r="R244" s="2" t="n"/>
      <c r="S244" s="2" t="n"/>
      <c r="T244" s="2" t="n"/>
      <c r="U244" s="2" t="n"/>
      <c r="V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>
        <f>IF(I245="Weekly",5,IF(I245="Monthly",4,IF(I245="Quarterly",2,IF(I245="Occasional",1,0))))+K245+L245+M245+N245</f>
        <v/>
      </c>
      <c r="Q245" s="2">
        <f>IF(P245&gt;=20,"High-value beta",IF(P245&gt;=15,"Beta candidate",IF(P245&gt;=10,"Waitlist","Nurture")))</f>
        <v/>
      </c>
      <c r="R245" s="2" t="n"/>
      <c r="S245" s="2" t="n"/>
      <c r="T245" s="2" t="n"/>
      <c r="U245" s="2" t="n"/>
      <c r="V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>
        <f>IF(I246="Weekly",5,IF(I246="Monthly",4,IF(I246="Quarterly",2,IF(I246="Occasional",1,0))))+K246+L246+M246+N246</f>
        <v/>
      </c>
      <c r="Q246" s="2">
        <f>IF(P246&gt;=20,"High-value beta",IF(P246&gt;=15,"Beta candidate",IF(P246&gt;=10,"Waitlist","Nurture")))</f>
        <v/>
      </c>
      <c r="R246" s="2" t="n"/>
      <c r="S246" s="2" t="n"/>
      <c r="T246" s="2" t="n"/>
      <c r="U246" s="2" t="n"/>
      <c r="V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>
        <f>IF(I247="Weekly",5,IF(I247="Monthly",4,IF(I247="Quarterly",2,IF(I247="Occasional",1,0))))+K247+L247+M247+N247</f>
        <v/>
      </c>
      <c r="Q247" s="2">
        <f>IF(P247&gt;=20,"High-value beta",IF(P247&gt;=15,"Beta candidate",IF(P247&gt;=10,"Waitlist","Nurture")))</f>
        <v/>
      </c>
      <c r="R247" s="2" t="n"/>
      <c r="S247" s="2" t="n"/>
      <c r="T247" s="2" t="n"/>
      <c r="U247" s="2" t="n"/>
      <c r="V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>
        <f>IF(I248="Weekly",5,IF(I248="Monthly",4,IF(I248="Quarterly",2,IF(I248="Occasional",1,0))))+K248+L248+M248+N248</f>
        <v/>
      </c>
      <c r="Q248" s="2">
        <f>IF(P248&gt;=20,"High-value beta",IF(P248&gt;=15,"Beta candidate",IF(P248&gt;=10,"Waitlist","Nurture")))</f>
        <v/>
      </c>
      <c r="R248" s="2" t="n"/>
      <c r="S248" s="2" t="n"/>
      <c r="T248" s="2" t="n"/>
      <c r="U248" s="2" t="n"/>
      <c r="V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>
        <f>IF(I249="Weekly",5,IF(I249="Monthly",4,IF(I249="Quarterly",2,IF(I249="Occasional",1,0))))+K249+L249+M249+N249</f>
        <v/>
      </c>
      <c r="Q249" s="2">
        <f>IF(P249&gt;=20,"High-value beta",IF(P249&gt;=15,"Beta candidate",IF(P249&gt;=10,"Waitlist","Nurture")))</f>
        <v/>
      </c>
      <c r="R249" s="2" t="n"/>
      <c r="S249" s="2" t="n"/>
      <c r="T249" s="2" t="n"/>
      <c r="U249" s="2" t="n"/>
      <c r="V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>
        <f>IF(I250="Weekly",5,IF(I250="Monthly",4,IF(I250="Quarterly",2,IF(I250="Occasional",1,0))))+K250+L250+M250+N250</f>
        <v/>
      </c>
      <c r="Q250" s="2">
        <f>IF(P250&gt;=20,"High-value beta",IF(P250&gt;=15,"Beta candidate",IF(P250&gt;=10,"Waitlist","Nurture")))</f>
        <v/>
      </c>
      <c r="R250" s="2" t="n"/>
      <c r="S250" s="2" t="n"/>
      <c r="T250" s="2" t="n"/>
      <c r="U250" s="2" t="n"/>
      <c r="V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>
        <f>IF(I251="Weekly",5,IF(I251="Monthly",4,IF(I251="Quarterly",2,IF(I251="Occasional",1,0))))+K251+L251+M251+N251</f>
        <v/>
      </c>
      <c r="Q251" s="2">
        <f>IF(P251&gt;=20,"High-value beta",IF(P251&gt;=15,"Beta candidate",IF(P251&gt;=10,"Waitlist","Nurture")))</f>
        <v/>
      </c>
      <c r="R251" s="2" t="n"/>
      <c r="S251" s="2" t="n"/>
      <c r="T251" s="2" t="n"/>
      <c r="U251" s="2" t="n"/>
      <c r="V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>
        <f>IF(I252="Weekly",5,IF(I252="Monthly",4,IF(I252="Quarterly",2,IF(I252="Occasional",1,0))))+K252+L252+M252+N252</f>
        <v/>
      </c>
      <c r="Q252" s="2">
        <f>IF(P252&gt;=20,"High-value beta",IF(P252&gt;=15,"Beta candidate",IF(P252&gt;=10,"Waitlist","Nurture")))</f>
        <v/>
      </c>
      <c r="R252" s="2" t="n"/>
      <c r="S252" s="2" t="n"/>
      <c r="T252" s="2" t="n"/>
      <c r="U252" s="2" t="n"/>
      <c r="V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>
        <f>IF(I253="Weekly",5,IF(I253="Monthly",4,IF(I253="Quarterly",2,IF(I253="Occasional",1,0))))+K253+L253+M253+N253</f>
        <v/>
      </c>
      <c r="Q253" s="2">
        <f>IF(P253&gt;=20,"High-value beta",IF(P253&gt;=15,"Beta candidate",IF(P253&gt;=10,"Waitlist","Nurture")))</f>
        <v/>
      </c>
      <c r="R253" s="2" t="n"/>
      <c r="S253" s="2" t="n"/>
      <c r="T253" s="2" t="n"/>
      <c r="U253" s="2" t="n"/>
      <c r="V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>
        <f>IF(I254="Weekly",5,IF(I254="Monthly",4,IF(I254="Quarterly",2,IF(I254="Occasional",1,0))))+K254+L254+M254+N254</f>
        <v/>
      </c>
      <c r="Q254" s="2">
        <f>IF(P254&gt;=20,"High-value beta",IF(P254&gt;=15,"Beta candidate",IF(P254&gt;=10,"Waitlist","Nurture")))</f>
        <v/>
      </c>
      <c r="R254" s="2" t="n"/>
      <c r="S254" s="2" t="n"/>
      <c r="T254" s="2" t="n"/>
      <c r="U254" s="2" t="n"/>
      <c r="V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>
        <f>IF(I255="Weekly",5,IF(I255="Monthly",4,IF(I255="Quarterly",2,IF(I255="Occasional",1,0))))+K255+L255+M255+N255</f>
        <v/>
      </c>
      <c r="Q255" s="2">
        <f>IF(P255&gt;=20,"High-value beta",IF(P255&gt;=15,"Beta candidate",IF(P255&gt;=10,"Waitlist","Nurture")))</f>
        <v/>
      </c>
      <c r="R255" s="2" t="n"/>
      <c r="S255" s="2" t="n"/>
      <c r="T255" s="2" t="n"/>
      <c r="U255" s="2" t="n"/>
      <c r="V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>
        <f>IF(I256="Weekly",5,IF(I256="Monthly",4,IF(I256="Quarterly",2,IF(I256="Occasional",1,0))))+K256+L256+M256+N256</f>
        <v/>
      </c>
      <c r="Q256" s="2">
        <f>IF(P256&gt;=20,"High-value beta",IF(P256&gt;=15,"Beta candidate",IF(P256&gt;=10,"Waitlist","Nurture")))</f>
        <v/>
      </c>
      <c r="R256" s="2" t="n"/>
      <c r="S256" s="2" t="n"/>
      <c r="T256" s="2" t="n"/>
      <c r="U256" s="2" t="n"/>
      <c r="V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>
        <f>IF(I257="Weekly",5,IF(I257="Monthly",4,IF(I257="Quarterly",2,IF(I257="Occasional",1,0))))+K257+L257+M257+N257</f>
        <v/>
      </c>
      <c r="Q257" s="2">
        <f>IF(P257&gt;=20,"High-value beta",IF(P257&gt;=15,"Beta candidate",IF(P257&gt;=10,"Waitlist","Nurture")))</f>
        <v/>
      </c>
      <c r="R257" s="2" t="n"/>
      <c r="S257" s="2" t="n"/>
      <c r="T257" s="2" t="n"/>
      <c r="U257" s="2" t="n"/>
      <c r="V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>
        <f>IF(I258="Weekly",5,IF(I258="Monthly",4,IF(I258="Quarterly",2,IF(I258="Occasional",1,0))))+K258+L258+M258+N258</f>
        <v/>
      </c>
      <c r="Q258" s="2">
        <f>IF(P258&gt;=20,"High-value beta",IF(P258&gt;=15,"Beta candidate",IF(P258&gt;=10,"Waitlist","Nurture")))</f>
        <v/>
      </c>
      <c r="R258" s="2" t="n"/>
      <c r="S258" s="2" t="n"/>
      <c r="T258" s="2" t="n"/>
      <c r="U258" s="2" t="n"/>
      <c r="V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>
        <f>IF(I259="Weekly",5,IF(I259="Monthly",4,IF(I259="Quarterly",2,IF(I259="Occasional",1,0))))+K259+L259+M259+N259</f>
        <v/>
      </c>
      <c r="Q259" s="2">
        <f>IF(P259&gt;=20,"High-value beta",IF(P259&gt;=15,"Beta candidate",IF(P259&gt;=10,"Waitlist","Nurture")))</f>
        <v/>
      </c>
      <c r="R259" s="2" t="n"/>
      <c r="S259" s="2" t="n"/>
      <c r="T259" s="2" t="n"/>
      <c r="U259" s="2" t="n"/>
      <c r="V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>
        <f>IF(I260="Weekly",5,IF(I260="Monthly",4,IF(I260="Quarterly",2,IF(I260="Occasional",1,0))))+K260+L260+M260+N260</f>
        <v/>
      </c>
      <c r="Q260" s="2">
        <f>IF(P260&gt;=20,"High-value beta",IF(P260&gt;=15,"Beta candidate",IF(P260&gt;=10,"Waitlist","Nurture")))</f>
        <v/>
      </c>
      <c r="R260" s="2" t="n"/>
      <c r="S260" s="2" t="n"/>
      <c r="T260" s="2" t="n"/>
      <c r="U260" s="2" t="n"/>
      <c r="V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>
        <f>IF(I261="Weekly",5,IF(I261="Monthly",4,IF(I261="Quarterly",2,IF(I261="Occasional",1,0))))+K261+L261+M261+N261</f>
        <v/>
      </c>
      <c r="Q261" s="2">
        <f>IF(P261&gt;=20,"High-value beta",IF(P261&gt;=15,"Beta candidate",IF(P261&gt;=10,"Waitlist","Nurture")))</f>
        <v/>
      </c>
      <c r="R261" s="2" t="n"/>
      <c r="S261" s="2" t="n"/>
      <c r="T261" s="2" t="n"/>
      <c r="U261" s="2" t="n"/>
      <c r="V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>
        <f>IF(I262="Weekly",5,IF(I262="Monthly",4,IF(I262="Quarterly",2,IF(I262="Occasional",1,0))))+K262+L262+M262+N262</f>
        <v/>
      </c>
      <c r="Q262" s="2">
        <f>IF(P262&gt;=20,"High-value beta",IF(P262&gt;=15,"Beta candidate",IF(P262&gt;=10,"Waitlist","Nurture")))</f>
        <v/>
      </c>
      <c r="R262" s="2" t="n"/>
      <c r="S262" s="2" t="n"/>
      <c r="T262" s="2" t="n"/>
      <c r="U262" s="2" t="n"/>
      <c r="V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>
        <f>IF(I263="Weekly",5,IF(I263="Monthly",4,IF(I263="Quarterly",2,IF(I263="Occasional",1,0))))+K263+L263+M263+N263</f>
        <v/>
      </c>
      <c r="Q263" s="2">
        <f>IF(P263&gt;=20,"High-value beta",IF(P263&gt;=15,"Beta candidate",IF(P263&gt;=10,"Waitlist","Nurture")))</f>
        <v/>
      </c>
      <c r="R263" s="2" t="n"/>
      <c r="S263" s="2" t="n"/>
      <c r="T263" s="2" t="n"/>
      <c r="U263" s="2" t="n"/>
      <c r="V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>
        <f>IF(I264="Weekly",5,IF(I264="Monthly",4,IF(I264="Quarterly",2,IF(I264="Occasional",1,0))))+K264+L264+M264+N264</f>
        <v/>
      </c>
      <c r="Q264" s="2">
        <f>IF(P264&gt;=20,"High-value beta",IF(P264&gt;=15,"Beta candidate",IF(P264&gt;=10,"Waitlist","Nurture")))</f>
        <v/>
      </c>
      <c r="R264" s="2" t="n"/>
      <c r="S264" s="2" t="n"/>
      <c r="T264" s="2" t="n"/>
      <c r="U264" s="2" t="n"/>
      <c r="V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>
        <f>IF(I265="Weekly",5,IF(I265="Monthly",4,IF(I265="Quarterly",2,IF(I265="Occasional",1,0))))+K265+L265+M265+N265</f>
        <v/>
      </c>
      <c r="Q265" s="2">
        <f>IF(P265&gt;=20,"High-value beta",IF(P265&gt;=15,"Beta candidate",IF(P265&gt;=10,"Waitlist","Nurture")))</f>
        <v/>
      </c>
      <c r="R265" s="2" t="n"/>
      <c r="S265" s="2" t="n"/>
      <c r="T265" s="2" t="n"/>
      <c r="U265" s="2" t="n"/>
      <c r="V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>
        <f>IF(I266="Weekly",5,IF(I266="Monthly",4,IF(I266="Quarterly",2,IF(I266="Occasional",1,0))))+K266+L266+M266+N266</f>
        <v/>
      </c>
      <c r="Q266" s="2">
        <f>IF(P266&gt;=20,"High-value beta",IF(P266&gt;=15,"Beta candidate",IF(P266&gt;=10,"Waitlist","Nurture")))</f>
        <v/>
      </c>
      <c r="R266" s="2" t="n"/>
      <c r="S266" s="2" t="n"/>
      <c r="T266" s="2" t="n"/>
      <c r="U266" s="2" t="n"/>
      <c r="V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>
        <f>IF(I267="Weekly",5,IF(I267="Monthly",4,IF(I267="Quarterly",2,IF(I267="Occasional",1,0))))+K267+L267+M267+N267</f>
        <v/>
      </c>
      <c r="Q267" s="2">
        <f>IF(P267&gt;=20,"High-value beta",IF(P267&gt;=15,"Beta candidate",IF(P267&gt;=10,"Waitlist","Nurture")))</f>
        <v/>
      </c>
      <c r="R267" s="2" t="n"/>
      <c r="S267" s="2" t="n"/>
      <c r="T267" s="2" t="n"/>
      <c r="U267" s="2" t="n"/>
      <c r="V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>
        <f>IF(I268="Weekly",5,IF(I268="Monthly",4,IF(I268="Quarterly",2,IF(I268="Occasional",1,0))))+K268+L268+M268+N268</f>
        <v/>
      </c>
      <c r="Q268" s="2">
        <f>IF(P268&gt;=20,"High-value beta",IF(P268&gt;=15,"Beta candidate",IF(P268&gt;=10,"Waitlist","Nurture")))</f>
        <v/>
      </c>
      <c r="R268" s="2" t="n"/>
      <c r="S268" s="2" t="n"/>
      <c r="T268" s="2" t="n"/>
      <c r="U268" s="2" t="n"/>
      <c r="V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>
        <f>IF(I269="Weekly",5,IF(I269="Monthly",4,IF(I269="Quarterly",2,IF(I269="Occasional",1,0))))+K269+L269+M269+N269</f>
        <v/>
      </c>
      <c r="Q269" s="2">
        <f>IF(P269&gt;=20,"High-value beta",IF(P269&gt;=15,"Beta candidate",IF(P269&gt;=10,"Waitlist","Nurture")))</f>
        <v/>
      </c>
      <c r="R269" s="2" t="n"/>
      <c r="S269" s="2" t="n"/>
      <c r="T269" s="2" t="n"/>
      <c r="U269" s="2" t="n"/>
      <c r="V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>
        <f>IF(I270="Weekly",5,IF(I270="Monthly",4,IF(I270="Quarterly",2,IF(I270="Occasional",1,0))))+K270+L270+M270+N270</f>
        <v/>
      </c>
      <c r="Q270" s="2">
        <f>IF(P270&gt;=20,"High-value beta",IF(P270&gt;=15,"Beta candidate",IF(P270&gt;=10,"Waitlist","Nurture")))</f>
        <v/>
      </c>
      <c r="R270" s="2" t="n"/>
      <c r="S270" s="2" t="n"/>
      <c r="T270" s="2" t="n"/>
      <c r="U270" s="2" t="n"/>
      <c r="V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>
        <f>IF(I271="Weekly",5,IF(I271="Monthly",4,IF(I271="Quarterly",2,IF(I271="Occasional",1,0))))+K271+L271+M271+N271</f>
        <v/>
      </c>
      <c r="Q271" s="2">
        <f>IF(P271&gt;=20,"High-value beta",IF(P271&gt;=15,"Beta candidate",IF(P271&gt;=10,"Waitlist","Nurture")))</f>
        <v/>
      </c>
      <c r="R271" s="2" t="n"/>
      <c r="S271" s="2" t="n"/>
      <c r="T271" s="2" t="n"/>
      <c r="U271" s="2" t="n"/>
      <c r="V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>
        <f>IF(I272="Weekly",5,IF(I272="Monthly",4,IF(I272="Quarterly",2,IF(I272="Occasional",1,0))))+K272+L272+M272+N272</f>
        <v/>
      </c>
      <c r="Q272" s="2">
        <f>IF(P272&gt;=20,"High-value beta",IF(P272&gt;=15,"Beta candidate",IF(P272&gt;=10,"Waitlist","Nurture")))</f>
        <v/>
      </c>
      <c r="R272" s="2" t="n"/>
      <c r="S272" s="2" t="n"/>
      <c r="T272" s="2" t="n"/>
      <c r="U272" s="2" t="n"/>
      <c r="V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>
        <f>IF(I273="Weekly",5,IF(I273="Monthly",4,IF(I273="Quarterly",2,IF(I273="Occasional",1,0))))+K273+L273+M273+N273</f>
        <v/>
      </c>
      <c r="Q273" s="2">
        <f>IF(P273&gt;=20,"High-value beta",IF(P273&gt;=15,"Beta candidate",IF(P273&gt;=10,"Waitlist","Nurture")))</f>
        <v/>
      </c>
      <c r="R273" s="2" t="n"/>
      <c r="S273" s="2" t="n"/>
      <c r="T273" s="2" t="n"/>
      <c r="U273" s="2" t="n"/>
      <c r="V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>
        <f>IF(I274="Weekly",5,IF(I274="Monthly",4,IF(I274="Quarterly",2,IF(I274="Occasional",1,0))))+K274+L274+M274+N274</f>
        <v/>
      </c>
      <c r="Q274" s="2">
        <f>IF(P274&gt;=20,"High-value beta",IF(P274&gt;=15,"Beta candidate",IF(P274&gt;=10,"Waitlist","Nurture")))</f>
        <v/>
      </c>
      <c r="R274" s="2" t="n"/>
      <c r="S274" s="2" t="n"/>
      <c r="T274" s="2" t="n"/>
      <c r="U274" s="2" t="n"/>
      <c r="V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>
        <f>IF(I275="Weekly",5,IF(I275="Monthly",4,IF(I275="Quarterly",2,IF(I275="Occasional",1,0))))+K275+L275+M275+N275</f>
        <v/>
      </c>
      <c r="Q275" s="2">
        <f>IF(P275&gt;=20,"High-value beta",IF(P275&gt;=15,"Beta candidate",IF(P275&gt;=10,"Waitlist","Nurture")))</f>
        <v/>
      </c>
      <c r="R275" s="2" t="n"/>
      <c r="S275" s="2" t="n"/>
      <c r="T275" s="2" t="n"/>
      <c r="U275" s="2" t="n"/>
      <c r="V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>
        <f>IF(I276="Weekly",5,IF(I276="Monthly",4,IF(I276="Quarterly",2,IF(I276="Occasional",1,0))))+K276+L276+M276+N276</f>
        <v/>
      </c>
      <c r="Q276" s="2">
        <f>IF(P276&gt;=20,"High-value beta",IF(P276&gt;=15,"Beta candidate",IF(P276&gt;=10,"Waitlist","Nurture")))</f>
        <v/>
      </c>
      <c r="R276" s="2" t="n"/>
      <c r="S276" s="2" t="n"/>
      <c r="T276" s="2" t="n"/>
      <c r="U276" s="2" t="n"/>
      <c r="V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>
        <f>IF(I277="Weekly",5,IF(I277="Monthly",4,IF(I277="Quarterly",2,IF(I277="Occasional",1,0))))+K277+L277+M277+N277</f>
        <v/>
      </c>
      <c r="Q277" s="2">
        <f>IF(P277&gt;=20,"High-value beta",IF(P277&gt;=15,"Beta candidate",IF(P277&gt;=10,"Waitlist","Nurture")))</f>
        <v/>
      </c>
      <c r="R277" s="2" t="n"/>
      <c r="S277" s="2" t="n"/>
      <c r="T277" s="2" t="n"/>
      <c r="U277" s="2" t="n"/>
      <c r="V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>
        <f>IF(I278="Weekly",5,IF(I278="Monthly",4,IF(I278="Quarterly",2,IF(I278="Occasional",1,0))))+K278+L278+M278+N278</f>
        <v/>
      </c>
      <c r="Q278" s="2">
        <f>IF(P278&gt;=20,"High-value beta",IF(P278&gt;=15,"Beta candidate",IF(P278&gt;=10,"Waitlist","Nurture")))</f>
        <v/>
      </c>
      <c r="R278" s="2" t="n"/>
      <c r="S278" s="2" t="n"/>
      <c r="T278" s="2" t="n"/>
      <c r="U278" s="2" t="n"/>
      <c r="V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>
        <f>IF(I279="Weekly",5,IF(I279="Monthly",4,IF(I279="Quarterly",2,IF(I279="Occasional",1,0))))+K279+L279+M279+N279</f>
        <v/>
      </c>
      <c r="Q279" s="2">
        <f>IF(P279&gt;=20,"High-value beta",IF(P279&gt;=15,"Beta candidate",IF(P279&gt;=10,"Waitlist","Nurture")))</f>
        <v/>
      </c>
      <c r="R279" s="2" t="n"/>
      <c r="S279" s="2" t="n"/>
      <c r="T279" s="2" t="n"/>
      <c r="U279" s="2" t="n"/>
      <c r="V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>
        <f>IF(I280="Weekly",5,IF(I280="Monthly",4,IF(I280="Quarterly",2,IF(I280="Occasional",1,0))))+K280+L280+M280+N280</f>
        <v/>
      </c>
      <c r="Q280" s="2">
        <f>IF(P280&gt;=20,"High-value beta",IF(P280&gt;=15,"Beta candidate",IF(P280&gt;=10,"Waitlist","Nurture")))</f>
        <v/>
      </c>
      <c r="R280" s="2" t="n"/>
      <c r="S280" s="2" t="n"/>
      <c r="T280" s="2" t="n"/>
      <c r="U280" s="2" t="n"/>
      <c r="V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>
        <f>IF(I281="Weekly",5,IF(I281="Monthly",4,IF(I281="Quarterly",2,IF(I281="Occasional",1,0))))+K281+L281+M281+N281</f>
        <v/>
      </c>
      <c r="Q281" s="2">
        <f>IF(P281&gt;=20,"High-value beta",IF(P281&gt;=15,"Beta candidate",IF(P281&gt;=10,"Waitlist","Nurture")))</f>
        <v/>
      </c>
      <c r="R281" s="2" t="n"/>
      <c r="S281" s="2" t="n"/>
      <c r="T281" s="2" t="n"/>
      <c r="U281" s="2" t="n"/>
      <c r="V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>
        <f>IF(I282="Weekly",5,IF(I282="Monthly",4,IF(I282="Quarterly",2,IF(I282="Occasional",1,0))))+K282+L282+M282+N282</f>
        <v/>
      </c>
      <c r="Q282" s="2">
        <f>IF(P282&gt;=20,"High-value beta",IF(P282&gt;=15,"Beta candidate",IF(P282&gt;=10,"Waitlist","Nurture")))</f>
        <v/>
      </c>
      <c r="R282" s="2" t="n"/>
      <c r="S282" s="2" t="n"/>
      <c r="T282" s="2" t="n"/>
      <c r="U282" s="2" t="n"/>
      <c r="V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>
        <f>IF(I283="Weekly",5,IF(I283="Monthly",4,IF(I283="Quarterly",2,IF(I283="Occasional",1,0))))+K283+L283+M283+N283</f>
        <v/>
      </c>
      <c r="Q283" s="2">
        <f>IF(P283&gt;=20,"High-value beta",IF(P283&gt;=15,"Beta candidate",IF(P283&gt;=10,"Waitlist","Nurture")))</f>
        <v/>
      </c>
      <c r="R283" s="2" t="n"/>
      <c r="S283" s="2" t="n"/>
      <c r="T283" s="2" t="n"/>
      <c r="U283" s="2" t="n"/>
      <c r="V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>
        <f>IF(I284="Weekly",5,IF(I284="Monthly",4,IF(I284="Quarterly",2,IF(I284="Occasional",1,0))))+K284+L284+M284+N284</f>
        <v/>
      </c>
      <c r="Q284" s="2">
        <f>IF(P284&gt;=20,"High-value beta",IF(P284&gt;=15,"Beta candidate",IF(P284&gt;=10,"Waitlist","Nurture")))</f>
        <v/>
      </c>
      <c r="R284" s="2" t="n"/>
      <c r="S284" s="2" t="n"/>
      <c r="T284" s="2" t="n"/>
      <c r="U284" s="2" t="n"/>
      <c r="V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>
        <f>IF(I285="Weekly",5,IF(I285="Monthly",4,IF(I285="Quarterly",2,IF(I285="Occasional",1,0))))+K285+L285+M285+N285</f>
        <v/>
      </c>
      <c r="Q285" s="2">
        <f>IF(P285&gt;=20,"High-value beta",IF(P285&gt;=15,"Beta candidate",IF(P285&gt;=10,"Waitlist","Nurture")))</f>
        <v/>
      </c>
      <c r="R285" s="2" t="n"/>
      <c r="S285" s="2" t="n"/>
      <c r="T285" s="2" t="n"/>
      <c r="U285" s="2" t="n"/>
      <c r="V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>
        <f>IF(I286="Weekly",5,IF(I286="Monthly",4,IF(I286="Quarterly",2,IF(I286="Occasional",1,0))))+K286+L286+M286+N286</f>
        <v/>
      </c>
      <c r="Q286" s="2">
        <f>IF(P286&gt;=20,"High-value beta",IF(P286&gt;=15,"Beta candidate",IF(P286&gt;=10,"Waitlist","Nurture")))</f>
        <v/>
      </c>
      <c r="R286" s="2" t="n"/>
      <c r="S286" s="2" t="n"/>
      <c r="T286" s="2" t="n"/>
      <c r="U286" s="2" t="n"/>
      <c r="V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>
        <f>IF(I287="Weekly",5,IF(I287="Monthly",4,IF(I287="Quarterly",2,IF(I287="Occasional",1,0))))+K287+L287+M287+N287</f>
        <v/>
      </c>
      <c r="Q287" s="2">
        <f>IF(P287&gt;=20,"High-value beta",IF(P287&gt;=15,"Beta candidate",IF(P287&gt;=10,"Waitlist","Nurture")))</f>
        <v/>
      </c>
      <c r="R287" s="2" t="n"/>
      <c r="S287" s="2" t="n"/>
      <c r="T287" s="2" t="n"/>
      <c r="U287" s="2" t="n"/>
      <c r="V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>
        <f>IF(I288="Weekly",5,IF(I288="Monthly",4,IF(I288="Quarterly",2,IF(I288="Occasional",1,0))))+K288+L288+M288+N288</f>
        <v/>
      </c>
      <c r="Q288" s="2">
        <f>IF(P288&gt;=20,"High-value beta",IF(P288&gt;=15,"Beta candidate",IF(P288&gt;=10,"Waitlist","Nurture")))</f>
        <v/>
      </c>
      <c r="R288" s="2" t="n"/>
      <c r="S288" s="2" t="n"/>
      <c r="T288" s="2" t="n"/>
      <c r="U288" s="2" t="n"/>
      <c r="V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>
        <f>IF(I289="Weekly",5,IF(I289="Monthly",4,IF(I289="Quarterly",2,IF(I289="Occasional",1,0))))+K289+L289+M289+N289</f>
        <v/>
      </c>
      <c r="Q289" s="2">
        <f>IF(P289&gt;=20,"High-value beta",IF(P289&gt;=15,"Beta candidate",IF(P289&gt;=10,"Waitlist","Nurture")))</f>
        <v/>
      </c>
      <c r="R289" s="2" t="n"/>
      <c r="S289" s="2" t="n"/>
      <c r="T289" s="2" t="n"/>
      <c r="U289" s="2" t="n"/>
      <c r="V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>
        <f>IF(I290="Weekly",5,IF(I290="Monthly",4,IF(I290="Quarterly",2,IF(I290="Occasional",1,0))))+K290+L290+M290+N290</f>
        <v/>
      </c>
      <c r="Q290" s="2">
        <f>IF(P290&gt;=20,"High-value beta",IF(P290&gt;=15,"Beta candidate",IF(P290&gt;=10,"Waitlist","Nurture")))</f>
        <v/>
      </c>
      <c r="R290" s="2" t="n"/>
      <c r="S290" s="2" t="n"/>
      <c r="T290" s="2" t="n"/>
      <c r="U290" s="2" t="n"/>
      <c r="V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>
        <f>IF(I291="Weekly",5,IF(I291="Monthly",4,IF(I291="Quarterly",2,IF(I291="Occasional",1,0))))+K291+L291+M291+N291</f>
        <v/>
      </c>
      <c r="Q291" s="2">
        <f>IF(P291&gt;=20,"High-value beta",IF(P291&gt;=15,"Beta candidate",IF(P291&gt;=10,"Waitlist","Nurture")))</f>
        <v/>
      </c>
      <c r="R291" s="2" t="n"/>
      <c r="S291" s="2" t="n"/>
      <c r="T291" s="2" t="n"/>
      <c r="U291" s="2" t="n"/>
      <c r="V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>
        <f>IF(I292="Weekly",5,IF(I292="Monthly",4,IF(I292="Quarterly",2,IF(I292="Occasional",1,0))))+K292+L292+M292+N292</f>
        <v/>
      </c>
      <c r="Q292" s="2">
        <f>IF(P292&gt;=20,"High-value beta",IF(P292&gt;=15,"Beta candidate",IF(P292&gt;=10,"Waitlist","Nurture")))</f>
        <v/>
      </c>
      <c r="R292" s="2" t="n"/>
      <c r="S292" s="2" t="n"/>
      <c r="T292" s="2" t="n"/>
      <c r="U292" s="2" t="n"/>
      <c r="V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>
        <f>IF(I293="Weekly",5,IF(I293="Monthly",4,IF(I293="Quarterly",2,IF(I293="Occasional",1,0))))+K293+L293+M293+N293</f>
        <v/>
      </c>
      <c r="Q293" s="2">
        <f>IF(P293&gt;=20,"High-value beta",IF(P293&gt;=15,"Beta candidate",IF(P293&gt;=10,"Waitlist","Nurture")))</f>
        <v/>
      </c>
      <c r="R293" s="2" t="n"/>
      <c r="S293" s="2" t="n"/>
      <c r="T293" s="2" t="n"/>
      <c r="U293" s="2" t="n"/>
      <c r="V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>
        <f>IF(I294="Weekly",5,IF(I294="Monthly",4,IF(I294="Quarterly",2,IF(I294="Occasional",1,0))))+K294+L294+M294+N294</f>
        <v/>
      </c>
      <c r="Q294" s="2">
        <f>IF(P294&gt;=20,"High-value beta",IF(P294&gt;=15,"Beta candidate",IF(P294&gt;=10,"Waitlist","Nurture")))</f>
        <v/>
      </c>
      <c r="R294" s="2" t="n"/>
      <c r="S294" s="2" t="n"/>
      <c r="T294" s="2" t="n"/>
      <c r="U294" s="2" t="n"/>
      <c r="V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>
        <f>IF(I295="Weekly",5,IF(I295="Monthly",4,IF(I295="Quarterly",2,IF(I295="Occasional",1,0))))+K295+L295+M295+N295</f>
        <v/>
      </c>
      <c r="Q295" s="2">
        <f>IF(P295&gt;=20,"High-value beta",IF(P295&gt;=15,"Beta candidate",IF(P295&gt;=10,"Waitlist","Nurture")))</f>
        <v/>
      </c>
      <c r="R295" s="2" t="n"/>
      <c r="S295" s="2" t="n"/>
      <c r="T295" s="2" t="n"/>
      <c r="U295" s="2" t="n"/>
      <c r="V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>
        <f>IF(I296="Weekly",5,IF(I296="Monthly",4,IF(I296="Quarterly",2,IF(I296="Occasional",1,0))))+K296+L296+M296+N296</f>
        <v/>
      </c>
      <c r="Q296" s="2">
        <f>IF(P296&gt;=20,"High-value beta",IF(P296&gt;=15,"Beta candidate",IF(P296&gt;=10,"Waitlist","Nurture")))</f>
        <v/>
      </c>
      <c r="R296" s="2" t="n"/>
      <c r="S296" s="2" t="n"/>
      <c r="T296" s="2" t="n"/>
      <c r="U296" s="2" t="n"/>
      <c r="V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>
        <f>IF(I297="Weekly",5,IF(I297="Monthly",4,IF(I297="Quarterly",2,IF(I297="Occasional",1,0))))+K297+L297+M297+N297</f>
        <v/>
      </c>
      <c r="Q297" s="2">
        <f>IF(P297&gt;=20,"High-value beta",IF(P297&gt;=15,"Beta candidate",IF(P297&gt;=10,"Waitlist","Nurture")))</f>
        <v/>
      </c>
      <c r="R297" s="2" t="n"/>
      <c r="S297" s="2" t="n"/>
      <c r="T297" s="2" t="n"/>
      <c r="U297" s="2" t="n"/>
      <c r="V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>
        <f>IF(I298="Weekly",5,IF(I298="Monthly",4,IF(I298="Quarterly",2,IF(I298="Occasional",1,0))))+K298+L298+M298+N298</f>
        <v/>
      </c>
      <c r="Q298" s="2">
        <f>IF(P298&gt;=20,"High-value beta",IF(P298&gt;=15,"Beta candidate",IF(P298&gt;=10,"Waitlist","Nurture")))</f>
        <v/>
      </c>
      <c r="R298" s="2" t="n"/>
      <c r="S298" s="2" t="n"/>
      <c r="T298" s="2" t="n"/>
      <c r="U298" s="2" t="n"/>
      <c r="V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>
        <f>IF(I299="Weekly",5,IF(I299="Monthly",4,IF(I299="Quarterly",2,IF(I299="Occasional",1,0))))+K299+L299+M299+N299</f>
        <v/>
      </c>
      <c r="Q299" s="2">
        <f>IF(P299&gt;=20,"High-value beta",IF(P299&gt;=15,"Beta candidate",IF(P299&gt;=10,"Waitlist","Nurture")))</f>
        <v/>
      </c>
      <c r="R299" s="2" t="n"/>
      <c r="S299" s="2" t="n"/>
      <c r="T299" s="2" t="n"/>
      <c r="U299" s="2" t="n"/>
      <c r="V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>
        <f>IF(I300="Weekly",5,IF(I300="Monthly",4,IF(I300="Quarterly",2,IF(I300="Occasional",1,0))))+K300+L300+M300+N300</f>
        <v/>
      </c>
      <c r="Q300" s="2">
        <f>IF(P300&gt;=20,"High-value beta",IF(P300&gt;=15,"Beta candidate",IF(P300&gt;=10,"Waitlist","Nurture")))</f>
        <v/>
      </c>
      <c r="R300" s="2" t="n"/>
      <c r="S300" s="2" t="n"/>
      <c r="T300" s="2" t="n"/>
      <c r="U300" s="2" t="n"/>
      <c r="V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>
        <f>IF(I301="Weekly",5,IF(I301="Monthly",4,IF(I301="Quarterly",2,IF(I301="Occasional",1,0))))+K301+L301+M301+N301</f>
        <v/>
      </c>
      <c r="Q301" s="2">
        <f>IF(P301&gt;=20,"High-value beta",IF(P301&gt;=15,"Beta candidate",IF(P301&gt;=10,"Waitlist","Nurture")))</f>
        <v/>
      </c>
      <c r="R301" s="2" t="n"/>
      <c r="S301" s="2" t="n"/>
      <c r="T301" s="2" t="n"/>
      <c r="U301" s="2" t="n"/>
      <c r="V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>
        <f>IF(I302="Weekly",5,IF(I302="Monthly",4,IF(I302="Quarterly",2,IF(I302="Occasional",1,0))))+K302+L302+M302+N302</f>
        <v/>
      </c>
      <c r="Q302" s="2">
        <f>IF(P302&gt;=20,"High-value beta",IF(P302&gt;=15,"Beta candidate",IF(P302&gt;=10,"Waitlist","Nurture")))</f>
        <v/>
      </c>
      <c r="R302" s="2" t="n"/>
      <c r="S302" s="2" t="n"/>
      <c r="T302" s="2" t="n"/>
      <c r="U302" s="2" t="n"/>
      <c r="V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>
        <f>IF(I303="Weekly",5,IF(I303="Monthly",4,IF(I303="Quarterly",2,IF(I303="Occasional",1,0))))+K303+L303+M303+N303</f>
        <v/>
      </c>
      <c r="Q303" s="2">
        <f>IF(P303&gt;=20,"High-value beta",IF(P303&gt;=15,"Beta candidate",IF(P303&gt;=10,"Waitlist","Nurture")))</f>
        <v/>
      </c>
      <c r="R303" s="2" t="n"/>
      <c r="S303" s="2" t="n"/>
      <c r="T303" s="2" t="n"/>
      <c r="U303" s="2" t="n"/>
      <c r="V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>
        <f>IF(I304="Weekly",5,IF(I304="Monthly",4,IF(I304="Quarterly",2,IF(I304="Occasional",1,0))))+K304+L304+M304+N304</f>
        <v/>
      </c>
      <c r="Q304" s="2">
        <f>IF(P304&gt;=20,"High-value beta",IF(P304&gt;=15,"Beta candidate",IF(P304&gt;=10,"Waitlist","Nurture")))</f>
        <v/>
      </c>
      <c r="R304" s="2" t="n"/>
      <c r="S304" s="2" t="n"/>
      <c r="T304" s="2" t="n"/>
      <c r="U304" s="2" t="n"/>
      <c r="V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>
        <f>IF(I305="Weekly",5,IF(I305="Monthly",4,IF(I305="Quarterly",2,IF(I305="Occasional",1,0))))+K305+L305+M305+N305</f>
        <v/>
      </c>
      <c r="Q305" s="2">
        <f>IF(P305&gt;=20,"High-value beta",IF(P305&gt;=15,"Beta candidate",IF(P305&gt;=10,"Waitlist","Nurture")))</f>
        <v/>
      </c>
      <c r="R305" s="2" t="n"/>
      <c r="S305" s="2" t="n"/>
      <c r="T305" s="2" t="n"/>
      <c r="U305" s="2" t="n"/>
      <c r="V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>
        <f>IF(I306="Weekly",5,IF(I306="Monthly",4,IF(I306="Quarterly",2,IF(I306="Occasional",1,0))))+K306+L306+M306+N306</f>
        <v/>
      </c>
      <c r="Q306" s="2">
        <f>IF(P306&gt;=20,"High-value beta",IF(P306&gt;=15,"Beta candidate",IF(P306&gt;=10,"Waitlist","Nurture")))</f>
        <v/>
      </c>
      <c r="R306" s="2" t="n"/>
      <c r="S306" s="2" t="n"/>
      <c r="T306" s="2" t="n"/>
      <c r="U306" s="2" t="n"/>
      <c r="V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>
        <f>IF(I307="Weekly",5,IF(I307="Monthly",4,IF(I307="Quarterly",2,IF(I307="Occasional",1,0))))+K307+L307+M307+N307</f>
        <v/>
      </c>
      <c r="Q307" s="2">
        <f>IF(P307&gt;=20,"High-value beta",IF(P307&gt;=15,"Beta candidate",IF(P307&gt;=10,"Waitlist","Nurture")))</f>
        <v/>
      </c>
      <c r="R307" s="2" t="n"/>
      <c r="S307" s="2" t="n"/>
      <c r="T307" s="2" t="n"/>
      <c r="U307" s="2" t="n"/>
      <c r="V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>
        <f>IF(I308="Weekly",5,IF(I308="Monthly",4,IF(I308="Quarterly",2,IF(I308="Occasional",1,0))))+K308+L308+M308+N308</f>
        <v/>
      </c>
      <c r="Q308" s="2">
        <f>IF(P308&gt;=20,"High-value beta",IF(P308&gt;=15,"Beta candidate",IF(P308&gt;=10,"Waitlist","Nurture")))</f>
        <v/>
      </c>
      <c r="R308" s="2" t="n"/>
      <c r="S308" s="2" t="n"/>
      <c r="T308" s="2" t="n"/>
      <c r="U308" s="2" t="n"/>
      <c r="V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>
        <f>IF(I309="Weekly",5,IF(I309="Monthly",4,IF(I309="Quarterly",2,IF(I309="Occasional",1,0))))+K309+L309+M309+N309</f>
        <v/>
      </c>
      <c r="Q309" s="2">
        <f>IF(P309&gt;=20,"High-value beta",IF(P309&gt;=15,"Beta candidate",IF(P309&gt;=10,"Waitlist","Nurture")))</f>
        <v/>
      </c>
      <c r="R309" s="2" t="n"/>
      <c r="S309" s="2" t="n"/>
      <c r="T309" s="2" t="n"/>
      <c r="U309" s="2" t="n"/>
      <c r="V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>
        <f>IF(I310="Weekly",5,IF(I310="Monthly",4,IF(I310="Quarterly",2,IF(I310="Occasional",1,0))))+K310+L310+M310+N310</f>
        <v/>
      </c>
      <c r="Q310" s="2">
        <f>IF(P310&gt;=20,"High-value beta",IF(P310&gt;=15,"Beta candidate",IF(P310&gt;=10,"Waitlist","Nurture")))</f>
        <v/>
      </c>
      <c r="R310" s="2" t="n"/>
      <c r="S310" s="2" t="n"/>
      <c r="T310" s="2" t="n"/>
      <c r="U310" s="2" t="n"/>
      <c r="V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>
        <f>IF(I311="Weekly",5,IF(I311="Monthly",4,IF(I311="Quarterly",2,IF(I311="Occasional",1,0))))+K311+L311+M311+N311</f>
        <v/>
      </c>
      <c r="Q311" s="2">
        <f>IF(P311&gt;=20,"High-value beta",IF(P311&gt;=15,"Beta candidate",IF(P311&gt;=10,"Waitlist","Nurture")))</f>
        <v/>
      </c>
      <c r="R311" s="2" t="n"/>
      <c r="S311" s="2" t="n"/>
      <c r="T311" s="2" t="n"/>
      <c r="U311" s="2" t="n"/>
      <c r="V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>
        <f>IF(I312="Weekly",5,IF(I312="Monthly",4,IF(I312="Quarterly",2,IF(I312="Occasional",1,0))))+K312+L312+M312+N312</f>
        <v/>
      </c>
      <c r="Q312" s="2">
        <f>IF(P312&gt;=20,"High-value beta",IF(P312&gt;=15,"Beta candidate",IF(P312&gt;=10,"Waitlist","Nurture")))</f>
        <v/>
      </c>
      <c r="R312" s="2" t="n"/>
      <c r="S312" s="2" t="n"/>
      <c r="T312" s="2" t="n"/>
      <c r="U312" s="2" t="n"/>
      <c r="V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>
        <f>IF(I313="Weekly",5,IF(I313="Monthly",4,IF(I313="Quarterly",2,IF(I313="Occasional",1,0))))+K313+L313+M313+N313</f>
        <v/>
      </c>
      <c r="Q313" s="2">
        <f>IF(P313&gt;=20,"High-value beta",IF(P313&gt;=15,"Beta candidate",IF(P313&gt;=10,"Waitlist","Nurture")))</f>
        <v/>
      </c>
      <c r="R313" s="2" t="n"/>
      <c r="S313" s="2" t="n"/>
      <c r="T313" s="2" t="n"/>
      <c r="U313" s="2" t="n"/>
      <c r="V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>
        <f>IF(I314="Weekly",5,IF(I314="Monthly",4,IF(I314="Quarterly",2,IF(I314="Occasional",1,0))))+K314+L314+M314+N314</f>
        <v/>
      </c>
      <c r="Q314" s="2">
        <f>IF(P314&gt;=20,"High-value beta",IF(P314&gt;=15,"Beta candidate",IF(P314&gt;=10,"Waitlist","Nurture")))</f>
        <v/>
      </c>
      <c r="R314" s="2" t="n"/>
      <c r="S314" s="2" t="n"/>
      <c r="T314" s="2" t="n"/>
      <c r="U314" s="2" t="n"/>
      <c r="V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>
        <f>IF(I315="Weekly",5,IF(I315="Monthly",4,IF(I315="Quarterly",2,IF(I315="Occasional",1,0))))+K315+L315+M315+N315</f>
        <v/>
      </c>
      <c r="Q315" s="2">
        <f>IF(P315&gt;=20,"High-value beta",IF(P315&gt;=15,"Beta candidate",IF(P315&gt;=10,"Waitlist","Nurture")))</f>
        <v/>
      </c>
      <c r="R315" s="2" t="n"/>
      <c r="S315" s="2" t="n"/>
      <c r="T315" s="2" t="n"/>
      <c r="U315" s="2" t="n"/>
      <c r="V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>
        <f>IF(I316="Weekly",5,IF(I316="Monthly",4,IF(I316="Quarterly",2,IF(I316="Occasional",1,0))))+K316+L316+M316+N316</f>
        <v/>
      </c>
      <c r="Q316" s="2">
        <f>IF(P316&gt;=20,"High-value beta",IF(P316&gt;=15,"Beta candidate",IF(P316&gt;=10,"Waitlist","Nurture")))</f>
        <v/>
      </c>
      <c r="R316" s="2" t="n"/>
      <c r="S316" s="2" t="n"/>
      <c r="T316" s="2" t="n"/>
      <c r="U316" s="2" t="n"/>
      <c r="V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>
        <f>IF(I317="Weekly",5,IF(I317="Monthly",4,IF(I317="Quarterly",2,IF(I317="Occasional",1,0))))+K317+L317+M317+N317</f>
        <v/>
      </c>
      <c r="Q317" s="2">
        <f>IF(P317&gt;=20,"High-value beta",IF(P317&gt;=15,"Beta candidate",IF(P317&gt;=10,"Waitlist","Nurture")))</f>
        <v/>
      </c>
      <c r="R317" s="2" t="n"/>
      <c r="S317" s="2" t="n"/>
      <c r="T317" s="2" t="n"/>
      <c r="U317" s="2" t="n"/>
      <c r="V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>
        <f>IF(I318="Weekly",5,IF(I318="Monthly",4,IF(I318="Quarterly",2,IF(I318="Occasional",1,0))))+K318+L318+M318+N318</f>
        <v/>
      </c>
      <c r="Q318" s="2">
        <f>IF(P318&gt;=20,"High-value beta",IF(P318&gt;=15,"Beta candidate",IF(P318&gt;=10,"Waitlist","Nurture")))</f>
        <v/>
      </c>
      <c r="R318" s="2" t="n"/>
      <c r="S318" s="2" t="n"/>
      <c r="T318" s="2" t="n"/>
      <c r="U318" s="2" t="n"/>
      <c r="V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>
        <f>IF(I319="Weekly",5,IF(I319="Monthly",4,IF(I319="Quarterly",2,IF(I319="Occasional",1,0))))+K319+L319+M319+N319</f>
        <v/>
      </c>
      <c r="Q319" s="2">
        <f>IF(P319&gt;=20,"High-value beta",IF(P319&gt;=15,"Beta candidate",IF(P319&gt;=10,"Waitlist","Nurture")))</f>
        <v/>
      </c>
      <c r="R319" s="2" t="n"/>
      <c r="S319" s="2" t="n"/>
      <c r="T319" s="2" t="n"/>
      <c r="U319" s="2" t="n"/>
      <c r="V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>
        <f>IF(I320="Weekly",5,IF(I320="Monthly",4,IF(I320="Quarterly",2,IF(I320="Occasional",1,0))))+K320+L320+M320+N320</f>
        <v/>
      </c>
      <c r="Q320" s="2">
        <f>IF(P320&gt;=20,"High-value beta",IF(P320&gt;=15,"Beta candidate",IF(P320&gt;=10,"Waitlist","Nurture")))</f>
        <v/>
      </c>
      <c r="R320" s="2" t="n"/>
      <c r="S320" s="2" t="n"/>
      <c r="T320" s="2" t="n"/>
      <c r="U320" s="2" t="n"/>
      <c r="V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>
        <f>IF(I321="Weekly",5,IF(I321="Monthly",4,IF(I321="Quarterly",2,IF(I321="Occasional",1,0))))+K321+L321+M321+N321</f>
        <v/>
      </c>
      <c r="Q321" s="2">
        <f>IF(P321&gt;=20,"High-value beta",IF(P321&gt;=15,"Beta candidate",IF(P321&gt;=10,"Waitlist","Nurture")))</f>
        <v/>
      </c>
      <c r="R321" s="2" t="n"/>
      <c r="S321" s="2" t="n"/>
      <c r="T321" s="2" t="n"/>
      <c r="U321" s="2" t="n"/>
      <c r="V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>
        <f>IF(I322="Weekly",5,IF(I322="Monthly",4,IF(I322="Quarterly",2,IF(I322="Occasional",1,0))))+K322+L322+M322+N322</f>
        <v/>
      </c>
      <c r="Q322" s="2">
        <f>IF(P322&gt;=20,"High-value beta",IF(P322&gt;=15,"Beta candidate",IF(P322&gt;=10,"Waitlist","Nurture")))</f>
        <v/>
      </c>
      <c r="R322" s="2" t="n"/>
      <c r="S322" s="2" t="n"/>
      <c r="T322" s="2" t="n"/>
      <c r="U322" s="2" t="n"/>
      <c r="V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>
        <f>IF(I323="Weekly",5,IF(I323="Monthly",4,IF(I323="Quarterly",2,IF(I323="Occasional",1,0))))+K323+L323+M323+N323</f>
        <v/>
      </c>
      <c r="Q323" s="2">
        <f>IF(P323&gt;=20,"High-value beta",IF(P323&gt;=15,"Beta candidate",IF(P323&gt;=10,"Waitlist","Nurture")))</f>
        <v/>
      </c>
      <c r="R323" s="2" t="n"/>
      <c r="S323" s="2" t="n"/>
      <c r="T323" s="2" t="n"/>
      <c r="U323" s="2" t="n"/>
      <c r="V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>
        <f>IF(I324="Weekly",5,IF(I324="Monthly",4,IF(I324="Quarterly",2,IF(I324="Occasional",1,0))))+K324+L324+M324+N324</f>
        <v/>
      </c>
      <c r="Q324" s="2">
        <f>IF(P324&gt;=20,"High-value beta",IF(P324&gt;=15,"Beta candidate",IF(P324&gt;=10,"Waitlist","Nurture")))</f>
        <v/>
      </c>
      <c r="R324" s="2" t="n"/>
      <c r="S324" s="2" t="n"/>
      <c r="T324" s="2" t="n"/>
      <c r="U324" s="2" t="n"/>
      <c r="V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>
        <f>IF(I325="Weekly",5,IF(I325="Monthly",4,IF(I325="Quarterly",2,IF(I325="Occasional",1,0))))+K325+L325+M325+N325</f>
        <v/>
      </c>
      <c r="Q325" s="2">
        <f>IF(P325&gt;=20,"High-value beta",IF(P325&gt;=15,"Beta candidate",IF(P325&gt;=10,"Waitlist","Nurture")))</f>
        <v/>
      </c>
      <c r="R325" s="2" t="n"/>
      <c r="S325" s="2" t="n"/>
      <c r="T325" s="2" t="n"/>
      <c r="U325" s="2" t="n"/>
      <c r="V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>
        <f>IF(I326="Weekly",5,IF(I326="Monthly",4,IF(I326="Quarterly",2,IF(I326="Occasional",1,0))))+K326+L326+M326+N326</f>
        <v/>
      </c>
      <c r="Q326" s="2">
        <f>IF(P326&gt;=20,"High-value beta",IF(P326&gt;=15,"Beta candidate",IF(P326&gt;=10,"Waitlist","Nurture")))</f>
        <v/>
      </c>
      <c r="R326" s="2" t="n"/>
      <c r="S326" s="2" t="n"/>
      <c r="T326" s="2" t="n"/>
      <c r="U326" s="2" t="n"/>
      <c r="V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>
        <f>IF(I327="Weekly",5,IF(I327="Monthly",4,IF(I327="Quarterly",2,IF(I327="Occasional",1,0))))+K327+L327+M327+N327</f>
        <v/>
      </c>
      <c r="Q327" s="2">
        <f>IF(P327&gt;=20,"High-value beta",IF(P327&gt;=15,"Beta candidate",IF(P327&gt;=10,"Waitlist","Nurture")))</f>
        <v/>
      </c>
      <c r="R327" s="2" t="n"/>
      <c r="S327" s="2" t="n"/>
      <c r="T327" s="2" t="n"/>
      <c r="U327" s="2" t="n"/>
      <c r="V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>
        <f>IF(I328="Weekly",5,IF(I328="Monthly",4,IF(I328="Quarterly",2,IF(I328="Occasional",1,0))))+K328+L328+M328+N328</f>
        <v/>
      </c>
      <c r="Q328" s="2">
        <f>IF(P328&gt;=20,"High-value beta",IF(P328&gt;=15,"Beta candidate",IF(P328&gt;=10,"Waitlist","Nurture")))</f>
        <v/>
      </c>
      <c r="R328" s="2" t="n"/>
      <c r="S328" s="2" t="n"/>
      <c r="T328" s="2" t="n"/>
      <c r="U328" s="2" t="n"/>
      <c r="V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>
        <f>IF(I329="Weekly",5,IF(I329="Monthly",4,IF(I329="Quarterly",2,IF(I329="Occasional",1,0))))+K329+L329+M329+N329</f>
        <v/>
      </c>
      <c r="Q329" s="2">
        <f>IF(P329&gt;=20,"High-value beta",IF(P329&gt;=15,"Beta candidate",IF(P329&gt;=10,"Waitlist","Nurture")))</f>
        <v/>
      </c>
      <c r="R329" s="2" t="n"/>
      <c r="S329" s="2" t="n"/>
      <c r="T329" s="2" t="n"/>
      <c r="U329" s="2" t="n"/>
      <c r="V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>
        <f>IF(I330="Weekly",5,IF(I330="Monthly",4,IF(I330="Quarterly",2,IF(I330="Occasional",1,0))))+K330+L330+M330+N330</f>
        <v/>
      </c>
      <c r="Q330" s="2">
        <f>IF(P330&gt;=20,"High-value beta",IF(P330&gt;=15,"Beta candidate",IF(P330&gt;=10,"Waitlist","Nurture")))</f>
        <v/>
      </c>
      <c r="R330" s="2" t="n"/>
      <c r="S330" s="2" t="n"/>
      <c r="T330" s="2" t="n"/>
      <c r="U330" s="2" t="n"/>
      <c r="V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>
        <f>IF(I331="Weekly",5,IF(I331="Monthly",4,IF(I331="Quarterly",2,IF(I331="Occasional",1,0))))+K331+L331+M331+N331</f>
        <v/>
      </c>
      <c r="Q331" s="2">
        <f>IF(P331&gt;=20,"High-value beta",IF(P331&gt;=15,"Beta candidate",IF(P331&gt;=10,"Waitlist","Nurture")))</f>
        <v/>
      </c>
      <c r="R331" s="2" t="n"/>
      <c r="S331" s="2" t="n"/>
      <c r="T331" s="2" t="n"/>
      <c r="U331" s="2" t="n"/>
      <c r="V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>
        <f>IF(I332="Weekly",5,IF(I332="Monthly",4,IF(I332="Quarterly",2,IF(I332="Occasional",1,0))))+K332+L332+M332+N332</f>
        <v/>
      </c>
      <c r="Q332" s="2">
        <f>IF(P332&gt;=20,"High-value beta",IF(P332&gt;=15,"Beta candidate",IF(P332&gt;=10,"Waitlist","Nurture")))</f>
        <v/>
      </c>
      <c r="R332" s="2" t="n"/>
      <c r="S332" s="2" t="n"/>
      <c r="T332" s="2" t="n"/>
      <c r="U332" s="2" t="n"/>
      <c r="V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>
        <f>IF(I333="Weekly",5,IF(I333="Monthly",4,IF(I333="Quarterly",2,IF(I333="Occasional",1,0))))+K333+L333+M333+N333</f>
        <v/>
      </c>
      <c r="Q333" s="2">
        <f>IF(P333&gt;=20,"High-value beta",IF(P333&gt;=15,"Beta candidate",IF(P333&gt;=10,"Waitlist","Nurture")))</f>
        <v/>
      </c>
      <c r="R333" s="2" t="n"/>
      <c r="S333" s="2" t="n"/>
      <c r="T333" s="2" t="n"/>
      <c r="U333" s="2" t="n"/>
      <c r="V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>
        <f>IF(I334="Weekly",5,IF(I334="Monthly",4,IF(I334="Quarterly",2,IF(I334="Occasional",1,0))))+K334+L334+M334+N334</f>
        <v/>
      </c>
      <c r="Q334" s="2">
        <f>IF(P334&gt;=20,"High-value beta",IF(P334&gt;=15,"Beta candidate",IF(P334&gt;=10,"Waitlist","Nurture")))</f>
        <v/>
      </c>
      <c r="R334" s="2" t="n"/>
      <c r="S334" s="2" t="n"/>
      <c r="T334" s="2" t="n"/>
      <c r="U334" s="2" t="n"/>
      <c r="V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>
        <f>IF(I335="Weekly",5,IF(I335="Monthly",4,IF(I335="Quarterly",2,IF(I335="Occasional",1,0))))+K335+L335+M335+N335</f>
        <v/>
      </c>
      <c r="Q335" s="2">
        <f>IF(P335&gt;=20,"High-value beta",IF(P335&gt;=15,"Beta candidate",IF(P335&gt;=10,"Waitlist","Nurture")))</f>
        <v/>
      </c>
      <c r="R335" s="2" t="n"/>
      <c r="S335" s="2" t="n"/>
      <c r="T335" s="2" t="n"/>
      <c r="U335" s="2" t="n"/>
      <c r="V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>
        <f>IF(I336="Weekly",5,IF(I336="Monthly",4,IF(I336="Quarterly",2,IF(I336="Occasional",1,0))))+K336+L336+M336+N336</f>
        <v/>
      </c>
      <c r="Q336" s="2">
        <f>IF(P336&gt;=20,"High-value beta",IF(P336&gt;=15,"Beta candidate",IF(P336&gt;=10,"Waitlist","Nurture")))</f>
        <v/>
      </c>
      <c r="R336" s="2" t="n"/>
      <c r="S336" s="2" t="n"/>
      <c r="T336" s="2" t="n"/>
      <c r="U336" s="2" t="n"/>
      <c r="V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>
        <f>IF(I337="Weekly",5,IF(I337="Monthly",4,IF(I337="Quarterly",2,IF(I337="Occasional",1,0))))+K337+L337+M337+N337</f>
        <v/>
      </c>
      <c r="Q337" s="2">
        <f>IF(P337&gt;=20,"High-value beta",IF(P337&gt;=15,"Beta candidate",IF(P337&gt;=10,"Waitlist","Nurture")))</f>
        <v/>
      </c>
      <c r="R337" s="2" t="n"/>
      <c r="S337" s="2" t="n"/>
      <c r="T337" s="2" t="n"/>
      <c r="U337" s="2" t="n"/>
      <c r="V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>
        <f>IF(I338="Weekly",5,IF(I338="Monthly",4,IF(I338="Quarterly",2,IF(I338="Occasional",1,0))))+K338+L338+M338+N338</f>
        <v/>
      </c>
      <c r="Q338" s="2">
        <f>IF(P338&gt;=20,"High-value beta",IF(P338&gt;=15,"Beta candidate",IF(P338&gt;=10,"Waitlist","Nurture")))</f>
        <v/>
      </c>
      <c r="R338" s="2" t="n"/>
      <c r="S338" s="2" t="n"/>
      <c r="T338" s="2" t="n"/>
      <c r="U338" s="2" t="n"/>
      <c r="V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>
        <f>IF(I339="Weekly",5,IF(I339="Monthly",4,IF(I339="Quarterly",2,IF(I339="Occasional",1,0))))+K339+L339+M339+N339</f>
        <v/>
      </c>
      <c r="Q339" s="2">
        <f>IF(P339&gt;=20,"High-value beta",IF(P339&gt;=15,"Beta candidate",IF(P339&gt;=10,"Waitlist","Nurture")))</f>
        <v/>
      </c>
      <c r="R339" s="2" t="n"/>
      <c r="S339" s="2" t="n"/>
      <c r="T339" s="2" t="n"/>
      <c r="U339" s="2" t="n"/>
      <c r="V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>
        <f>IF(I340="Weekly",5,IF(I340="Monthly",4,IF(I340="Quarterly",2,IF(I340="Occasional",1,0))))+K340+L340+M340+N340</f>
        <v/>
      </c>
      <c r="Q340" s="2">
        <f>IF(P340&gt;=20,"High-value beta",IF(P340&gt;=15,"Beta candidate",IF(P340&gt;=10,"Waitlist","Nurture")))</f>
        <v/>
      </c>
      <c r="R340" s="2" t="n"/>
      <c r="S340" s="2" t="n"/>
      <c r="T340" s="2" t="n"/>
      <c r="U340" s="2" t="n"/>
      <c r="V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>
        <f>IF(I341="Weekly",5,IF(I341="Monthly",4,IF(I341="Quarterly",2,IF(I341="Occasional",1,0))))+K341+L341+M341+N341</f>
        <v/>
      </c>
      <c r="Q341" s="2">
        <f>IF(P341&gt;=20,"High-value beta",IF(P341&gt;=15,"Beta candidate",IF(P341&gt;=10,"Waitlist","Nurture")))</f>
        <v/>
      </c>
      <c r="R341" s="2" t="n"/>
      <c r="S341" s="2" t="n"/>
      <c r="T341" s="2" t="n"/>
      <c r="U341" s="2" t="n"/>
      <c r="V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>
        <f>IF(I342="Weekly",5,IF(I342="Monthly",4,IF(I342="Quarterly",2,IF(I342="Occasional",1,0))))+K342+L342+M342+N342</f>
        <v/>
      </c>
      <c r="Q342" s="2">
        <f>IF(P342&gt;=20,"High-value beta",IF(P342&gt;=15,"Beta candidate",IF(P342&gt;=10,"Waitlist","Nurture")))</f>
        <v/>
      </c>
      <c r="R342" s="2" t="n"/>
      <c r="S342" s="2" t="n"/>
      <c r="T342" s="2" t="n"/>
      <c r="U342" s="2" t="n"/>
      <c r="V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>
        <f>IF(I343="Weekly",5,IF(I343="Monthly",4,IF(I343="Quarterly",2,IF(I343="Occasional",1,0))))+K343+L343+M343+N343</f>
        <v/>
      </c>
      <c r="Q343" s="2">
        <f>IF(P343&gt;=20,"High-value beta",IF(P343&gt;=15,"Beta candidate",IF(P343&gt;=10,"Waitlist","Nurture")))</f>
        <v/>
      </c>
      <c r="R343" s="2" t="n"/>
      <c r="S343" s="2" t="n"/>
      <c r="T343" s="2" t="n"/>
      <c r="U343" s="2" t="n"/>
      <c r="V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>
        <f>IF(I344="Weekly",5,IF(I344="Monthly",4,IF(I344="Quarterly",2,IF(I344="Occasional",1,0))))+K344+L344+M344+N344</f>
        <v/>
      </c>
      <c r="Q344" s="2">
        <f>IF(P344&gt;=20,"High-value beta",IF(P344&gt;=15,"Beta candidate",IF(P344&gt;=10,"Waitlist","Nurture")))</f>
        <v/>
      </c>
      <c r="R344" s="2" t="n"/>
      <c r="S344" s="2" t="n"/>
      <c r="T344" s="2" t="n"/>
      <c r="U344" s="2" t="n"/>
      <c r="V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>
        <f>IF(I345="Weekly",5,IF(I345="Monthly",4,IF(I345="Quarterly",2,IF(I345="Occasional",1,0))))+K345+L345+M345+N345</f>
        <v/>
      </c>
      <c r="Q345" s="2">
        <f>IF(P345&gt;=20,"High-value beta",IF(P345&gt;=15,"Beta candidate",IF(P345&gt;=10,"Waitlist","Nurture")))</f>
        <v/>
      </c>
      <c r="R345" s="2" t="n"/>
      <c r="S345" s="2" t="n"/>
      <c r="T345" s="2" t="n"/>
      <c r="U345" s="2" t="n"/>
      <c r="V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>
        <f>IF(I346="Weekly",5,IF(I346="Monthly",4,IF(I346="Quarterly",2,IF(I346="Occasional",1,0))))+K346+L346+M346+N346</f>
        <v/>
      </c>
      <c r="Q346" s="2">
        <f>IF(P346&gt;=20,"High-value beta",IF(P346&gt;=15,"Beta candidate",IF(P346&gt;=10,"Waitlist","Nurture")))</f>
        <v/>
      </c>
      <c r="R346" s="2" t="n"/>
      <c r="S346" s="2" t="n"/>
      <c r="T346" s="2" t="n"/>
      <c r="U346" s="2" t="n"/>
      <c r="V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>
        <f>IF(I347="Weekly",5,IF(I347="Monthly",4,IF(I347="Quarterly",2,IF(I347="Occasional",1,0))))+K347+L347+M347+N347</f>
        <v/>
      </c>
      <c r="Q347" s="2">
        <f>IF(P347&gt;=20,"High-value beta",IF(P347&gt;=15,"Beta candidate",IF(P347&gt;=10,"Waitlist","Nurture")))</f>
        <v/>
      </c>
      <c r="R347" s="2" t="n"/>
      <c r="S347" s="2" t="n"/>
      <c r="T347" s="2" t="n"/>
      <c r="U347" s="2" t="n"/>
      <c r="V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>
        <f>IF(I348="Weekly",5,IF(I348="Monthly",4,IF(I348="Quarterly",2,IF(I348="Occasional",1,0))))+K348+L348+M348+N348</f>
        <v/>
      </c>
      <c r="Q348" s="2">
        <f>IF(P348&gt;=20,"High-value beta",IF(P348&gt;=15,"Beta candidate",IF(P348&gt;=10,"Waitlist","Nurture")))</f>
        <v/>
      </c>
      <c r="R348" s="2" t="n"/>
      <c r="S348" s="2" t="n"/>
      <c r="T348" s="2" t="n"/>
      <c r="U348" s="2" t="n"/>
      <c r="V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>
        <f>IF(I349="Weekly",5,IF(I349="Monthly",4,IF(I349="Quarterly",2,IF(I349="Occasional",1,0))))+K349+L349+M349+N349</f>
        <v/>
      </c>
      <c r="Q349" s="2">
        <f>IF(P349&gt;=20,"High-value beta",IF(P349&gt;=15,"Beta candidate",IF(P349&gt;=10,"Waitlist","Nurture")))</f>
        <v/>
      </c>
      <c r="R349" s="2" t="n"/>
      <c r="S349" s="2" t="n"/>
      <c r="T349" s="2" t="n"/>
      <c r="U349" s="2" t="n"/>
      <c r="V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>
        <f>IF(I350="Weekly",5,IF(I350="Monthly",4,IF(I350="Quarterly",2,IF(I350="Occasional",1,0))))+K350+L350+M350+N350</f>
        <v/>
      </c>
      <c r="Q350" s="2">
        <f>IF(P350&gt;=20,"High-value beta",IF(P350&gt;=15,"Beta candidate",IF(P350&gt;=10,"Waitlist","Nurture")))</f>
        <v/>
      </c>
      <c r="R350" s="2" t="n"/>
      <c r="S350" s="2" t="n"/>
      <c r="T350" s="2" t="n"/>
      <c r="U350" s="2" t="n"/>
      <c r="V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>
        <f>IF(I351="Weekly",5,IF(I351="Monthly",4,IF(I351="Quarterly",2,IF(I351="Occasional",1,0))))+K351+L351+M351+N351</f>
        <v/>
      </c>
      <c r="Q351" s="2">
        <f>IF(P351&gt;=20,"High-value beta",IF(P351&gt;=15,"Beta candidate",IF(P351&gt;=10,"Waitlist","Nurture")))</f>
        <v/>
      </c>
      <c r="R351" s="2" t="n"/>
      <c r="S351" s="2" t="n"/>
      <c r="T351" s="2" t="n"/>
      <c r="U351" s="2" t="n"/>
      <c r="V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>
        <f>IF(I352="Weekly",5,IF(I352="Monthly",4,IF(I352="Quarterly",2,IF(I352="Occasional",1,0))))+K352+L352+M352+N352</f>
        <v/>
      </c>
      <c r="Q352" s="2">
        <f>IF(P352&gt;=20,"High-value beta",IF(P352&gt;=15,"Beta candidate",IF(P352&gt;=10,"Waitlist","Nurture")))</f>
        <v/>
      </c>
      <c r="R352" s="2" t="n"/>
      <c r="S352" s="2" t="n"/>
      <c r="T352" s="2" t="n"/>
      <c r="U352" s="2" t="n"/>
      <c r="V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>
        <f>IF(I353="Weekly",5,IF(I353="Monthly",4,IF(I353="Quarterly",2,IF(I353="Occasional",1,0))))+K353+L353+M353+N353</f>
        <v/>
      </c>
      <c r="Q353" s="2">
        <f>IF(P353&gt;=20,"High-value beta",IF(P353&gt;=15,"Beta candidate",IF(P353&gt;=10,"Waitlist","Nurture")))</f>
        <v/>
      </c>
      <c r="R353" s="2" t="n"/>
      <c r="S353" s="2" t="n"/>
      <c r="T353" s="2" t="n"/>
      <c r="U353" s="2" t="n"/>
      <c r="V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>
        <f>IF(I354="Weekly",5,IF(I354="Monthly",4,IF(I354="Quarterly",2,IF(I354="Occasional",1,0))))+K354+L354+M354+N354</f>
        <v/>
      </c>
      <c r="Q354" s="2">
        <f>IF(P354&gt;=20,"High-value beta",IF(P354&gt;=15,"Beta candidate",IF(P354&gt;=10,"Waitlist","Nurture")))</f>
        <v/>
      </c>
      <c r="R354" s="2" t="n"/>
      <c r="S354" s="2" t="n"/>
      <c r="T354" s="2" t="n"/>
      <c r="U354" s="2" t="n"/>
      <c r="V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>
        <f>IF(I355="Weekly",5,IF(I355="Monthly",4,IF(I355="Quarterly",2,IF(I355="Occasional",1,0))))+K355+L355+M355+N355</f>
        <v/>
      </c>
      <c r="Q355" s="2">
        <f>IF(P355&gt;=20,"High-value beta",IF(P355&gt;=15,"Beta candidate",IF(P355&gt;=10,"Waitlist","Nurture")))</f>
        <v/>
      </c>
      <c r="R355" s="2" t="n"/>
      <c r="S355" s="2" t="n"/>
      <c r="T355" s="2" t="n"/>
      <c r="U355" s="2" t="n"/>
      <c r="V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>
        <f>IF(I356="Weekly",5,IF(I356="Monthly",4,IF(I356="Quarterly",2,IF(I356="Occasional",1,0))))+K356+L356+M356+N356</f>
        <v/>
      </c>
      <c r="Q356" s="2">
        <f>IF(P356&gt;=20,"High-value beta",IF(P356&gt;=15,"Beta candidate",IF(P356&gt;=10,"Waitlist","Nurture")))</f>
        <v/>
      </c>
      <c r="R356" s="2" t="n"/>
      <c r="S356" s="2" t="n"/>
      <c r="T356" s="2" t="n"/>
      <c r="U356" s="2" t="n"/>
      <c r="V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>
        <f>IF(I357="Weekly",5,IF(I357="Monthly",4,IF(I357="Quarterly",2,IF(I357="Occasional",1,0))))+K357+L357+M357+N357</f>
        <v/>
      </c>
      <c r="Q357" s="2">
        <f>IF(P357&gt;=20,"High-value beta",IF(P357&gt;=15,"Beta candidate",IF(P357&gt;=10,"Waitlist","Nurture")))</f>
        <v/>
      </c>
      <c r="R357" s="2" t="n"/>
      <c r="S357" s="2" t="n"/>
      <c r="T357" s="2" t="n"/>
      <c r="U357" s="2" t="n"/>
      <c r="V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>
        <f>IF(I358="Weekly",5,IF(I358="Monthly",4,IF(I358="Quarterly",2,IF(I358="Occasional",1,0))))+K358+L358+M358+N358</f>
        <v/>
      </c>
      <c r="Q358" s="2">
        <f>IF(P358&gt;=20,"High-value beta",IF(P358&gt;=15,"Beta candidate",IF(P358&gt;=10,"Waitlist","Nurture")))</f>
        <v/>
      </c>
      <c r="R358" s="2" t="n"/>
      <c r="S358" s="2" t="n"/>
      <c r="T358" s="2" t="n"/>
      <c r="U358" s="2" t="n"/>
      <c r="V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>
        <f>IF(I359="Weekly",5,IF(I359="Monthly",4,IF(I359="Quarterly",2,IF(I359="Occasional",1,0))))+K359+L359+M359+N359</f>
        <v/>
      </c>
      <c r="Q359" s="2">
        <f>IF(P359&gt;=20,"High-value beta",IF(P359&gt;=15,"Beta candidate",IF(P359&gt;=10,"Waitlist","Nurture")))</f>
        <v/>
      </c>
      <c r="R359" s="2" t="n"/>
      <c r="S359" s="2" t="n"/>
      <c r="T359" s="2" t="n"/>
      <c r="U359" s="2" t="n"/>
      <c r="V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>
        <f>IF(I360="Weekly",5,IF(I360="Monthly",4,IF(I360="Quarterly",2,IF(I360="Occasional",1,0))))+K360+L360+M360+N360</f>
        <v/>
      </c>
      <c r="Q360" s="2">
        <f>IF(P360&gt;=20,"High-value beta",IF(P360&gt;=15,"Beta candidate",IF(P360&gt;=10,"Waitlist","Nurture")))</f>
        <v/>
      </c>
      <c r="R360" s="2" t="n"/>
      <c r="S360" s="2" t="n"/>
      <c r="T360" s="2" t="n"/>
      <c r="U360" s="2" t="n"/>
      <c r="V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>
        <f>IF(I361="Weekly",5,IF(I361="Monthly",4,IF(I361="Quarterly",2,IF(I361="Occasional",1,0))))+K361+L361+M361+N361</f>
        <v/>
      </c>
      <c r="Q361" s="2">
        <f>IF(P361&gt;=20,"High-value beta",IF(P361&gt;=15,"Beta candidate",IF(P361&gt;=10,"Waitlist","Nurture")))</f>
        <v/>
      </c>
      <c r="R361" s="2" t="n"/>
      <c r="S361" s="2" t="n"/>
      <c r="T361" s="2" t="n"/>
      <c r="U361" s="2" t="n"/>
      <c r="V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>
        <f>IF(I362="Weekly",5,IF(I362="Monthly",4,IF(I362="Quarterly",2,IF(I362="Occasional",1,0))))+K362+L362+M362+N362</f>
        <v/>
      </c>
      <c r="Q362" s="2">
        <f>IF(P362&gt;=20,"High-value beta",IF(P362&gt;=15,"Beta candidate",IF(P362&gt;=10,"Waitlist","Nurture")))</f>
        <v/>
      </c>
      <c r="R362" s="2" t="n"/>
      <c r="S362" s="2" t="n"/>
      <c r="T362" s="2" t="n"/>
      <c r="U362" s="2" t="n"/>
      <c r="V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>
        <f>IF(I363="Weekly",5,IF(I363="Monthly",4,IF(I363="Quarterly",2,IF(I363="Occasional",1,0))))+K363+L363+M363+N363</f>
        <v/>
      </c>
      <c r="Q363" s="2">
        <f>IF(P363&gt;=20,"High-value beta",IF(P363&gt;=15,"Beta candidate",IF(P363&gt;=10,"Waitlist","Nurture")))</f>
        <v/>
      </c>
      <c r="R363" s="2" t="n"/>
      <c r="S363" s="2" t="n"/>
      <c r="T363" s="2" t="n"/>
      <c r="U363" s="2" t="n"/>
      <c r="V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>
        <f>IF(I364="Weekly",5,IF(I364="Monthly",4,IF(I364="Quarterly",2,IF(I364="Occasional",1,0))))+K364+L364+M364+N364</f>
        <v/>
      </c>
      <c r="Q364" s="2">
        <f>IF(P364&gt;=20,"High-value beta",IF(P364&gt;=15,"Beta candidate",IF(P364&gt;=10,"Waitlist","Nurture")))</f>
        <v/>
      </c>
      <c r="R364" s="2" t="n"/>
      <c r="S364" s="2" t="n"/>
      <c r="T364" s="2" t="n"/>
      <c r="U364" s="2" t="n"/>
      <c r="V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>
        <f>IF(I365="Weekly",5,IF(I365="Monthly",4,IF(I365="Quarterly",2,IF(I365="Occasional",1,0))))+K365+L365+M365+N365</f>
        <v/>
      </c>
      <c r="Q365" s="2">
        <f>IF(P365&gt;=20,"High-value beta",IF(P365&gt;=15,"Beta candidate",IF(P365&gt;=10,"Waitlist","Nurture")))</f>
        <v/>
      </c>
      <c r="R365" s="2" t="n"/>
      <c r="S365" s="2" t="n"/>
      <c r="T365" s="2" t="n"/>
      <c r="U365" s="2" t="n"/>
      <c r="V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>
        <f>IF(I366="Weekly",5,IF(I366="Monthly",4,IF(I366="Quarterly",2,IF(I366="Occasional",1,0))))+K366+L366+M366+N366</f>
        <v/>
      </c>
      <c r="Q366" s="2">
        <f>IF(P366&gt;=20,"High-value beta",IF(P366&gt;=15,"Beta candidate",IF(P366&gt;=10,"Waitlist","Nurture")))</f>
        <v/>
      </c>
      <c r="R366" s="2" t="n"/>
      <c r="S366" s="2" t="n"/>
      <c r="T366" s="2" t="n"/>
      <c r="U366" s="2" t="n"/>
      <c r="V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>
        <f>IF(I367="Weekly",5,IF(I367="Monthly",4,IF(I367="Quarterly",2,IF(I367="Occasional",1,0))))+K367+L367+M367+N367</f>
        <v/>
      </c>
      <c r="Q367" s="2">
        <f>IF(P367&gt;=20,"High-value beta",IF(P367&gt;=15,"Beta candidate",IF(P367&gt;=10,"Waitlist","Nurture")))</f>
        <v/>
      </c>
      <c r="R367" s="2" t="n"/>
      <c r="S367" s="2" t="n"/>
      <c r="T367" s="2" t="n"/>
      <c r="U367" s="2" t="n"/>
      <c r="V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>
        <f>IF(I368="Weekly",5,IF(I368="Monthly",4,IF(I368="Quarterly",2,IF(I368="Occasional",1,0))))+K368+L368+M368+N368</f>
        <v/>
      </c>
      <c r="Q368" s="2">
        <f>IF(P368&gt;=20,"High-value beta",IF(P368&gt;=15,"Beta candidate",IF(P368&gt;=10,"Waitlist","Nurture")))</f>
        <v/>
      </c>
      <c r="R368" s="2" t="n"/>
      <c r="S368" s="2" t="n"/>
      <c r="T368" s="2" t="n"/>
      <c r="U368" s="2" t="n"/>
      <c r="V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>
        <f>IF(I369="Weekly",5,IF(I369="Monthly",4,IF(I369="Quarterly",2,IF(I369="Occasional",1,0))))+K369+L369+M369+N369</f>
        <v/>
      </c>
      <c r="Q369" s="2">
        <f>IF(P369&gt;=20,"High-value beta",IF(P369&gt;=15,"Beta candidate",IF(P369&gt;=10,"Waitlist","Nurture")))</f>
        <v/>
      </c>
      <c r="R369" s="2" t="n"/>
      <c r="S369" s="2" t="n"/>
      <c r="T369" s="2" t="n"/>
      <c r="U369" s="2" t="n"/>
      <c r="V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>
        <f>IF(I370="Weekly",5,IF(I370="Monthly",4,IF(I370="Quarterly",2,IF(I370="Occasional",1,0))))+K370+L370+M370+N370</f>
        <v/>
      </c>
      <c r="Q370" s="2">
        <f>IF(P370&gt;=20,"High-value beta",IF(P370&gt;=15,"Beta candidate",IF(P370&gt;=10,"Waitlist","Nurture")))</f>
        <v/>
      </c>
      <c r="R370" s="2" t="n"/>
      <c r="S370" s="2" t="n"/>
      <c r="T370" s="2" t="n"/>
      <c r="U370" s="2" t="n"/>
      <c r="V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>
        <f>IF(I371="Weekly",5,IF(I371="Monthly",4,IF(I371="Quarterly",2,IF(I371="Occasional",1,0))))+K371+L371+M371+N371</f>
        <v/>
      </c>
      <c r="Q371" s="2">
        <f>IF(P371&gt;=20,"High-value beta",IF(P371&gt;=15,"Beta candidate",IF(P371&gt;=10,"Waitlist","Nurture")))</f>
        <v/>
      </c>
      <c r="R371" s="2" t="n"/>
      <c r="S371" s="2" t="n"/>
      <c r="T371" s="2" t="n"/>
      <c r="U371" s="2" t="n"/>
      <c r="V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>
        <f>IF(I372="Weekly",5,IF(I372="Monthly",4,IF(I372="Quarterly",2,IF(I372="Occasional",1,0))))+K372+L372+M372+N372</f>
        <v/>
      </c>
      <c r="Q372" s="2">
        <f>IF(P372&gt;=20,"High-value beta",IF(P372&gt;=15,"Beta candidate",IF(P372&gt;=10,"Waitlist","Nurture")))</f>
        <v/>
      </c>
      <c r="R372" s="2" t="n"/>
      <c r="S372" s="2" t="n"/>
      <c r="T372" s="2" t="n"/>
      <c r="U372" s="2" t="n"/>
      <c r="V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>
        <f>IF(I373="Weekly",5,IF(I373="Monthly",4,IF(I373="Quarterly",2,IF(I373="Occasional",1,0))))+K373+L373+M373+N373</f>
        <v/>
      </c>
      <c r="Q373" s="2">
        <f>IF(P373&gt;=20,"High-value beta",IF(P373&gt;=15,"Beta candidate",IF(P373&gt;=10,"Waitlist","Nurture")))</f>
        <v/>
      </c>
      <c r="R373" s="2" t="n"/>
      <c r="S373" s="2" t="n"/>
      <c r="T373" s="2" t="n"/>
      <c r="U373" s="2" t="n"/>
      <c r="V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>
        <f>IF(I374="Weekly",5,IF(I374="Monthly",4,IF(I374="Quarterly",2,IF(I374="Occasional",1,0))))+K374+L374+M374+N374</f>
        <v/>
      </c>
      <c r="Q374" s="2">
        <f>IF(P374&gt;=20,"High-value beta",IF(P374&gt;=15,"Beta candidate",IF(P374&gt;=10,"Waitlist","Nurture")))</f>
        <v/>
      </c>
      <c r="R374" s="2" t="n"/>
      <c r="S374" s="2" t="n"/>
      <c r="T374" s="2" t="n"/>
      <c r="U374" s="2" t="n"/>
      <c r="V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>
        <f>IF(I375="Weekly",5,IF(I375="Monthly",4,IF(I375="Quarterly",2,IF(I375="Occasional",1,0))))+K375+L375+M375+N375</f>
        <v/>
      </c>
      <c r="Q375" s="2">
        <f>IF(P375&gt;=20,"High-value beta",IF(P375&gt;=15,"Beta candidate",IF(P375&gt;=10,"Waitlist","Nurture")))</f>
        <v/>
      </c>
      <c r="R375" s="2" t="n"/>
      <c r="S375" s="2" t="n"/>
      <c r="T375" s="2" t="n"/>
      <c r="U375" s="2" t="n"/>
      <c r="V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>
        <f>IF(I376="Weekly",5,IF(I376="Monthly",4,IF(I376="Quarterly",2,IF(I376="Occasional",1,0))))+K376+L376+M376+N376</f>
        <v/>
      </c>
      <c r="Q376" s="2">
        <f>IF(P376&gt;=20,"High-value beta",IF(P376&gt;=15,"Beta candidate",IF(P376&gt;=10,"Waitlist","Nurture")))</f>
        <v/>
      </c>
      <c r="R376" s="2" t="n"/>
      <c r="S376" s="2" t="n"/>
      <c r="T376" s="2" t="n"/>
      <c r="U376" s="2" t="n"/>
      <c r="V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>
        <f>IF(I377="Weekly",5,IF(I377="Monthly",4,IF(I377="Quarterly",2,IF(I377="Occasional",1,0))))+K377+L377+M377+N377</f>
        <v/>
      </c>
      <c r="Q377" s="2">
        <f>IF(P377&gt;=20,"High-value beta",IF(P377&gt;=15,"Beta candidate",IF(P377&gt;=10,"Waitlist","Nurture")))</f>
        <v/>
      </c>
      <c r="R377" s="2" t="n"/>
      <c r="S377" s="2" t="n"/>
      <c r="T377" s="2" t="n"/>
      <c r="U377" s="2" t="n"/>
      <c r="V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>
        <f>IF(I378="Weekly",5,IF(I378="Monthly",4,IF(I378="Quarterly",2,IF(I378="Occasional",1,0))))+K378+L378+M378+N378</f>
        <v/>
      </c>
      <c r="Q378" s="2">
        <f>IF(P378&gt;=20,"High-value beta",IF(P378&gt;=15,"Beta candidate",IF(P378&gt;=10,"Waitlist","Nurture")))</f>
        <v/>
      </c>
      <c r="R378" s="2" t="n"/>
      <c r="S378" s="2" t="n"/>
      <c r="T378" s="2" t="n"/>
      <c r="U378" s="2" t="n"/>
      <c r="V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>
        <f>IF(I379="Weekly",5,IF(I379="Monthly",4,IF(I379="Quarterly",2,IF(I379="Occasional",1,0))))+K379+L379+M379+N379</f>
        <v/>
      </c>
      <c r="Q379" s="2">
        <f>IF(P379&gt;=20,"High-value beta",IF(P379&gt;=15,"Beta candidate",IF(P379&gt;=10,"Waitlist","Nurture")))</f>
        <v/>
      </c>
      <c r="R379" s="2" t="n"/>
      <c r="S379" s="2" t="n"/>
      <c r="T379" s="2" t="n"/>
      <c r="U379" s="2" t="n"/>
      <c r="V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>
        <f>IF(I380="Weekly",5,IF(I380="Monthly",4,IF(I380="Quarterly",2,IF(I380="Occasional",1,0))))+K380+L380+M380+N380</f>
        <v/>
      </c>
      <c r="Q380" s="2">
        <f>IF(P380&gt;=20,"High-value beta",IF(P380&gt;=15,"Beta candidate",IF(P380&gt;=10,"Waitlist","Nurture")))</f>
        <v/>
      </c>
      <c r="R380" s="2" t="n"/>
      <c r="S380" s="2" t="n"/>
      <c r="T380" s="2" t="n"/>
      <c r="U380" s="2" t="n"/>
      <c r="V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>
        <f>IF(I381="Weekly",5,IF(I381="Monthly",4,IF(I381="Quarterly",2,IF(I381="Occasional",1,0))))+K381+L381+M381+N381</f>
        <v/>
      </c>
      <c r="Q381" s="2">
        <f>IF(P381&gt;=20,"High-value beta",IF(P381&gt;=15,"Beta candidate",IF(P381&gt;=10,"Waitlist","Nurture")))</f>
        <v/>
      </c>
      <c r="R381" s="2" t="n"/>
      <c r="S381" s="2" t="n"/>
      <c r="T381" s="2" t="n"/>
      <c r="U381" s="2" t="n"/>
      <c r="V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>
        <f>IF(I382="Weekly",5,IF(I382="Monthly",4,IF(I382="Quarterly",2,IF(I382="Occasional",1,0))))+K382+L382+M382+N382</f>
        <v/>
      </c>
      <c r="Q382" s="2">
        <f>IF(P382&gt;=20,"High-value beta",IF(P382&gt;=15,"Beta candidate",IF(P382&gt;=10,"Waitlist","Nurture")))</f>
        <v/>
      </c>
      <c r="R382" s="2" t="n"/>
      <c r="S382" s="2" t="n"/>
      <c r="T382" s="2" t="n"/>
      <c r="U382" s="2" t="n"/>
      <c r="V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>
        <f>IF(I383="Weekly",5,IF(I383="Monthly",4,IF(I383="Quarterly",2,IF(I383="Occasional",1,0))))+K383+L383+M383+N383</f>
        <v/>
      </c>
      <c r="Q383" s="2">
        <f>IF(P383&gt;=20,"High-value beta",IF(P383&gt;=15,"Beta candidate",IF(P383&gt;=10,"Waitlist","Nurture")))</f>
        <v/>
      </c>
      <c r="R383" s="2" t="n"/>
      <c r="S383" s="2" t="n"/>
      <c r="T383" s="2" t="n"/>
      <c r="U383" s="2" t="n"/>
      <c r="V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>
        <f>IF(I384="Weekly",5,IF(I384="Monthly",4,IF(I384="Quarterly",2,IF(I384="Occasional",1,0))))+K384+L384+M384+N384</f>
        <v/>
      </c>
      <c r="Q384" s="2">
        <f>IF(P384&gt;=20,"High-value beta",IF(P384&gt;=15,"Beta candidate",IF(P384&gt;=10,"Waitlist","Nurture")))</f>
        <v/>
      </c>
      <c r="R384" s="2" t="n"/>
      <c r="S384" s="2" t="n"/>
      <c r="T384" s="2" t="n"/>
      <c r="U384" s="2" t="n"/>
      <c r="V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>
        <f>IF(I385="Weekly",5,IF(I385="Monthly",4,IF(I385="Quarterly",2,IF(I385="Occasional",1,0))))+K385+L385+M385+N385</f>
        <v/>
      </c>
      <c r="Q385" s="2">
        <f>IF(P385&gt;=20,"High-value beta",IF(P385&gt;=15,"Beta candidate",IF(P385&gt;=10,"Waitlist","Nurture")))</f>
        <v/>
      </c>
      <c r="R385" s="2" t="n"/>
      <c r="S385" s="2" t="n"/>
      <c r="T385" s="2" t="n"/>
      <c r="U385" s="2" t="n"/>
      <c r="V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>
        <f>IF(I386="Weekly",5,IF(I386="Monthly",4,IF(I386="Quarterly",2,IF(I386="Occasional",1,0))))+K386+L386+M386+N386</f>
        <v/>
      </c>
      <c r="Q386" s="2">
        <f>IF(P386&gt;=20,"High-value beta",IF(P386&gt;=15,"Beta candidate",IF(P386&gt;=10,"Waitlist","Nurture")))</f>
        <v/>
      </c>
      <c r="R386" s="2" t="n"/>
      <c r="S386" s="2" t="n"/>
      <c r="T386" s="2" t="n"/>
      <c r="U386" s="2" t="n"/>
      <c r="V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>
        <f>IF(I387="Weekly",5,IF(I387="Monthly",4,IF(I387="Quarterly",2,IF(I387="Occasional",1,0))))+K387+L387+M387+N387</f>
        <v/>
      </c>
      <c r="Q387" s="2">
        <f>IF(P387&gt;=20,"High-value beta",IF(P387&gt;=15,"Beta candidate",IF(P387&gt;=10,"Waitlist","Nurture")))</f>
        <v/>
      </c>
      <c r="R387" s="2" t="n"/>
      <c r="S387" s="2" t="n"/>
      <c r="T387" s="2" t="n"/>
      <c r="U387" s="2" t="n"/>
      <c r="V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>
        <f>IF(I388="Weekly",5,IF(I388="Monthly",4,IF(I388="Quarterly",2,IF(I388="Occasional",1,0))))+K388+L388+M388+N388</f>
        <v/>
      </c>
      <c r="Q388" s="2">
        <f>IF(P388&gt;=20,"High-value beta",IF(P388&gt;=15,"Beta candidate",IF(P388&gt;=10,"Waitlist","Nurture")))</f>
        <v/>
      </c>
      <c r="R388" s="2" t="n"/>
      <c r="S388" s="2" t="n"/>
      <c r="T388" s="2" t="n"/>
      <c r="U388" s="2" t="n"/>
      <c r="V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>
        <f>IF(I389="Weekly",5,IF(I389="Monthly",4,IF(I389="Quarterly",2,IF(I389="Occasional",1,0))))+K389+L389+M389+N389</f>
        <v/>
      </c>
      <c r="Q389" s="2">
        <f>IF(P389&gt;=20,"High-value beta",IF(P389&gt;=15,"Beta candidate",IF(P389&gt;=10,"Waitlist","Nurture")))</f>
        <v/>
      </c>
      <c r="R389" s="2" t="n"/>
      <c r="S389" s="2" t="n"/>
      <c r="T389" s="2" t="n"/>
      <c r="U389" s="2" t="n"/>
      <c r="V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>
        <f>IF(I390="Weekly",5,IF(I390="Monthly",4,IF(I390="Quarterly",2,IF(I390="Occasional",1,0))))+K390+L390+M390+N390</f>
        <v/>
      </c>
      <c r="Q390" s="2">
        <f>IF(P390&gt;=20,"High-value beta",IF(P390&gt;=15,"Beta candidate",IF(P390&gt;=10,"Waitlist","Nurture")))</f>
        <v/>
      </c>
      <c r="R390" s="2" t="n"/>
      <c r="S390" s="2" t="n"/>
      <c r="T390" s="2" t="n"/>
      <c r="U390" s="2" t="n"/>
      <c r="V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>
        <f>IF(I391="Weekly",5,IF(I391="Monthly",4,IF(I391="Quarterly",2,IF(I391="Occasional",1,0))))+K391+L391+M391+N391</f>
        <v/>
      </c>
      <c r="Q391" s="2">
        <f>IF(P391&gt;=20,"High-value beta",IF(P391&gt;=15,"Beta candidate",IF(P391&gt;=10,"Waitlist","Nurture")))</f>
        <v/>
      </c>
      <c r="R391" s="2" t="n"/>
      <c r="S391" s="2" t="n"/>
      <c r="T391" s="2" t="n"/>
      <c r="U391" s="2" t="n"/>
      <c r="V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>
        <f>IF(I392="Weekly",5,IF(I392="Monthly",4,IF(I392="Quarterly",2,IF(I392="Occasional",1,0))))+K392+L392+M392+N392</f>
        <v/>
      </c>
      <c r="Q392" s="2">
        <f>IF(P392&gt;=20,"High-value beta",IF(P392&gt;=15,"Beta candidate",IF(P392&gt;=10,"Waitlist","Nurture")))</f>
        <v/>
      </c>
      <c r="R392" s="2" t="n"/>
      <c r="S392" s="2" t="n"/>
      <c r="T392" s="2" t="n"/>
      <c r="U392" s="2" t="n"/>
      <c r="V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>
        <f>IF(I393="Weekly",5,IF(I393="Monthly",4,IF(I393="Quarterly",2,IF(I393="Occasional",1,0))))+K393+L393+M393+N393</f>
        <v/>
      </c>
      <c r="Q393" s="2">
        <f>IF(P393&gt;=20,"High-value beta",IF(P393&gt;=15,"Beta candidate",IF(P393&gt;=10,"Waitlist","Nurture")))</f>
        <v/>
      </c>
      <c r="R393" s="2" t="n"/>
      <c r="S393" s="2" t="n"/>
      <c r="T393" s="2" t="n"/>
      <c r="U393" s="2" t="n"/>
      <c r="V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>
        <f>IF(I394="Weekly",5,IF(I394="Monthly",4,IF(I394="Quarterly",2,IF(I394="Occasional",1,0))))+K394+L394+M394+N394</f>
        <v/>
      </c>
      <c r="Q394" s="2">
        <f>IF(P394&gt;=20,"High-value beta",IF(P394&gt;=15,"Beta candidate",IF(P394&gt;=10,"Waitlist","Nurture")))</f>
        <v/>
      </c>
      <c r="R394" s="2" t="n"/>
      <c r="S394" s="2" t="n"/>
      <c r="T394" s="2" t="n"/>
      <c r="U394" s="2" t="n"/>
      <c r="V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>
        <f>IF(I395="Weekly",5,IF(I395="Monthly",4,IF(I395="Quarterly",2,IF(I395="Occasional",1,0))))+K395+L395+M395+N395</f>
        <v/>
      </c>
      <c r="Q395" s="2">
        <f>IF(P395&gt;=20,"High-value beta",IF(P395&gt;=15,"Beta candidate",IF(P395&gt;=10,"Waitlist","Nurture")))</f>
        <v/>
      </c>
      <c r="R395" s="2" t="n"/>
      <c r="S395" s="2" t="n"/>
      <c r="T395" s="2" t="n"/>
      <c r="U395" s="2" t="n"/>
      <c r="V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>
        <f>IF(I396="Weekly",5,IF(I396="Monthly",4,IF(I396="Quarterly",2,IF(I396="Occasional",1,0))))+K396+L396+M396+N396</f>
        <v/>
      </c>
      <c r="Q396" s="2">
        <f>IF(P396&gt;=20,"High-value beta",IF(P396&gt;=15,"Beta candidate",IF(P396&gt;=10,"Waitlist","Nurture")))</f>
        <v/>
      </c>
      <c r="R396" s="2" t="n"/>
      <c r="S396" s="2" t="n"/>
      <c r="T396" s="2" t="n"/>
      <c r="U396" s="2" t="n"/>
      <c r="V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>
        <f>IF(I397="Weekly",5,IF(I397="Monthly",4,IF(I397="Quarterly",2,IF(I397="Occasional",1,0))))+K397+L397+M397+N397</f>
        <v/>
      </c>
      <c r="Q397" s="2">
        <f>IF(P397&gt;=20,"High-value beta",IF(P397&gt;=15,"Beta candidate",IF(P397&gt;=10,"Waitlist","Nurture")))</f>
        <v/>
      </c>
      <c r="R397" s="2" t="n"/>
      <c r="S397" s="2" t="n"/>
      <c r="T397" s="2" t="n"/>
      <c r="U397" s="2" t="n"/>
      <c r="V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>
        <f>IF(I398="Weekly",5,IF(I398="Monthly",4,IF(I398="Quarterly",2,IF(I398="Occasional",1,0))))+K398+L398+M398+N398</f>
        <v/>
      </c>
      <c r="Q398" s="2">
        <f>IF(P398&gt;=20,"High-value beta",IF(P398&gt;=15,"Beta candidate",IF(P398&gt;=10,"Waitlist","Nurture")))</f>
        <v/>
      </c>
      <c r="R398" s="2" t="n"/>
      <c r="S398" s="2" t="n"/>
      <c r="T398" s="2" t="n"/>
      <c r="U398" s="2" t="n"/>
      <c r="V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>
        <f>IF(I399="Weekly",5,IF(I399="Monthly",4,IF(I399="Quarterly",2,IF(I399="Occasional",1,0))))+K399+L399+M399+N399</f>
        <v/>
      </c>
      <c r="Q399" s="2">
        <f>IF(P399&gt;=20,"High-value beta",IF(P399&gt;=15,"Beta candidate",IF(P399&gt;=10,"Waitlist","Nurture")))</f>
        <v/>
      </c>
      <c r="R399" s="2" t="n"/>
      <c r="S399" s="2" t="n"/>
      <c r="T399" s="2" t="n"/>
      <c r="U399" s="2" t="n"/>
      <c r="V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>
        <f>IF(I400="Weekly",5,IF(I400="Monthly",4,IF(I400="Quarterly",2,IF(I400="Occasional",1,0))))+K400+L400+M400+N400</f>
        <v/>
      </c>
      <c r="Q400" s="2">
        <f>IF(P400&gt;=20,"High-value beta",IF(P400&gt;=15,"Beta candidate",IF(P400&gt;=10,"Waitlist","Nurture")))</f>
        <v/>
      </c>
      <c r="R400" s="2" t="n"/>
      <c r="S400" s="2" t="n"/>
      <c r="T400" s="2" t="n"/>
      <c r="U400" s="2" t="n"/>
      <c r="V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>
        <f>IF(I401="Weekly",5,IF(I401="Monthly",4,IF(I401="Quarterly",2,IF(I401="Occasional",1,0))))+K401+L401+M401+N401</f>
        <v/>
      </c>
      <c r="Q401" s="2">
        <f>IF(P401&gt;=20,"High-value beta",IF(P401&gt;=15,"Beta candidate",IF(P401&gt;=10,"Waitlist","Nurture")))</f>
        <v/>
      </c>
      <c r="R401" s="2" t="n"/>
      <c r="S401" s="2" t="n"/>
      <c r="T401" s="2" t="n"/>
      <c r="U401" s="2" t="n"/>
      <c r="V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>
        <f>IF(I402="Weekly",5,IF(I402="Monthly",4,IF(I402="Quarterly",2,IF(I402="Occasional",1,0))))+K402+L402+M402+N402</f>
        <v/>
      </c>
      <c r="Q402" s="2">
        <f>IF(P402&gt;=20,"High-value beta",IF(P402&gt;=15,"Beta candidate",IF(P402&gt;=10,"Waitlist","Nurture")))</f>
        <v/>
      </c>
      <c r="R402" s="2" t="n"/>
      <c r="S402" s="2" t="n"/>
      <c r="T402" s="2" t="n"/>
      <c r="U402" s="2" t="n"/>
      <c r="V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>
        <f>IF(I403="Weekly",5,IF(I403="Monthly",4,IF(I403="Quarterly",2,IF(I403="Occasional",1,0))))+K403+L403+M403+N403</f>
        <v/>
      </c>
      <c r="Q403" s="2">
        <f>IF(P403&gt;=20,"High-value beta",IF(P403&gt;=15,"Beta candidate",IF(P403&gt;=10,"Waitlist","Nurture")))</f>
        <v/>
      </c>
      <c r="R403" s="2" t="n"/>
      <c r="S403" s="2" t="n"/>
      <c r="T403" s="2" t="n"/>
      <c r="U403" s="2" t="n"/>
      <c r="V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>
        <f>IF(I404="Weekly",5,IF(I404="Monthly",4,IF(I404="Quarterly",2,IF(I404="Occasional",1,0))))+K404+L404+M404+N404</f>
        <v/>
      </c>
      <c r="Q404" s="2">
        <f>IF(P404&gt;=20,"High-value beta",IF(P404&gt;=15,"Beta candidate",IF(P404&gt;=10,"Waitlist","Nurture")))</f>
        <v/>
      </c>
      <c r="R404" s="2" t="n"/>
      <c r="S404" s="2" t="n"/>
      <c r="T404" s="2" t="n"/>
      <c r="U404" s="2" t="n"/>
      <c r="V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>
        <f>IF(I405="Weekly",5,IF(I405="Monthly",4,IF(I405="Quarterly",2,IF(I405="Occasional",1,0))))+K405+L405+M405+N405</f>
        <v/>
      </c>
      <c r="Q405" s="2">
        <f>IF(P405&gt;=20,"High-value beta",IF(P405&gt;=15,"Beta candidate",IF(P405&gt;=10,"Waitlist","Nurture")))</f>
        <v/>
      </c>
      <c r="R405" s="2" t="n"/>
      <c r="S405" s="2" t="n"/>
      <c r="T405" s="2" t="n"/>
      <c r="U405" s="2" t="n"/>
      <c r="V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>
        <f>IF(I406="Weekly",5,IF(I406="Monthly",4,IF(I406="Quarterly",2,IF(I406="Occasional",1,0))))+K406+L406+M406+N406</f>
        <v/>
      </c>
      <c r="Q406" s="2">
        <f>IF(P406&gt;=20,"High-value beta",IF(P406&gt;=15,"Beta candidate",IF(P406&gt;=10,"Waitlist","Nurture")))</f>
        <v/>
      </c>
      <c r="R406" s="2" t="n"/>
      <c r="S406" s="2" t="n"/>
      <c r="T406" s="2" t="n"/>
      <c r="U406" s="2" t="n"/>
      <c r="V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>
        <f>IF(I407="Weekly",5,IF(I407="Monthly",4,IF(I407="Quarterly",2,IF(I407="Occasional",1,0))))+K407+L407+M407+N407</f>
        <v/>
      </c>
      <c r="Q407" s="2">
        <f>IF(P407&gt;=20,"High-value beta",IF(P407&gt;=15,"Beta candidate",IF(P407&gt;=10,"Waitlist","Nurture")))</f>
        <v/>
      </c>
      <c r="R407" s="2" t="n"/>
      <c r="S407" s="2" t="n"/>
      <c r="T407" s="2" t="n"/>
      <c r="U407" s="2" t="n"/>
      <c r="V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>
        <f>IF(I408="Weekly",5,IF(I408="Monthly",4,IF(I408="Quarterly",2,IF(I408="Occasional",1,0))))+K408+L408+M408+N408</f>
        <v/>
      </c>
      <c r="Q408" s="2">
        <f>IF(P408&gt;=20,"High-value beta",IF(P408&gt;=15,"Beta candidate",IF(P408&gt;=10,"Waitlist","Nurture")))</f>
        <v/>
      </c>
      <c r="R408" s="2" t="n"/>
      <c r="S408" s="2" t="n"/>
      <c r="T408" s="2" t="n"/>
      <c r="U408" s="2" t="n"/>
      <c r="V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>
        <f>IF(I409="Weekly",5,IF(I409="Monthly",4,IF(I409="Quarterly",2,IF(I409="Occasional",1,0))))+K409+L409+M409+N409</f>
        <v/>
      </c>
      <c r="Q409" s="2">
        <f>IF(P409&gt;=20,"High-value beta",IF(P409&gt;=15,"Beta candidate",IF(P409&gt;=10,"Waitlist","Nurture")))</f>
        <v/>
      </c>
      <c r="R409" s="2" t="n"/>
      <c r="S409" s="2" t="n"/>
      <c r="T409" s="2" t="n"/>
      <c r="U409" s="2" t="n"/>
      <c r="V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>
        <f>IF(I410="Weekly",5,IF(I410="Monthly",4,IF(I410="Quarterly",2,IF(I410="Occasional",1,0))))+K410+L410+M410+N410</f>
        <v/>
      </c>
      <c r="Q410" s="2">
        <f>IF(P410&gt;=20,"High-value beta",IF(P410&gt;=15,"Beta candidate",IF(P410&gt;=10,"Waitlist","Nurture")))</f>
        <v/>
      </c>
      <c r="R410" s="2" t="n"/>
      <c r="S410" s="2" t="n"/>
      <c r="T410" s="2" t="n"/>
      <c r="U410" s="2" t="n"/>
      <c r="V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>
        <f>IF(I411="Weekly",5,IF(I411="Monthly",4,IF(I411="Quarterly",2,IF(I411="Occasional",1,0))))+K411+L411+M411+N411</f>
        <v/>
      </c>
      <c r="Q411" s="2">
        <f>IF(P411&gt;=20,"High-value beta",IF(P411&gt;=15,"Beta candidate",IF(P411&gt;=10,"Waitlist","Nurture")))</f>
        <v/>
      </c>
      <c r="R411" s="2" t="n"/>
      <c r="S411" s="2" t="n"/>
      <c r="T411" s="2" t="n"/>
      <c r="U411" s="2" t="n"/>
      <c r="V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>
        <f>IF(I412="Weekly",5,IF(I412="Monthly",4,IF(I412="Quarterly",2,IF(I412="Occasional",1,0))))+K412+L412+M412+N412</f>
        <v/>
      </c>
      <c r="Q412" s="2">
        <f>IF(P412&gt;=20,"High-value beta",IF(P412&gt;=15,"Beta candidate",IF(P412&gt;=10,"Waitlist","Nurture")))</f>
        <v/>
      </c>
      <c r="R412" s="2" t="n"/>
      <c r="S412" s="2" t="n"/>
      <c r="T412" s="2" t="n"/>
      <c r="U412" s="2" t="n"/>
      <c r="V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>
        <f>IF(I413="Weekly",5,IF(I413="Monthly",4,IF(I413="Quarterly",2,IF(I413="Occasional",1,0))))+K413+L413+M413+N413</f>
        <v/>
      </c>
      <c r="Q413" s="2">
        <f>IF(P413&gt;=20,"High-value beta",IF(P413&gt;=15,"Beta candidate",IF(P413&gt;=10,"Waitlist","Nurture")))</f>
        <v/>
      </c>
      <c r="R413" s="2" t="n"/>
      <c r="S413" s="2" t="n"/>
      <c r="T413" s="2" t="n"/>
      <c r="U413" s="2" t="n"/>
      <c r="V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>
        <f>IF(I414="Weekly",5,IF(I414="Monthly",4,IF(I414="Quarterly",2,IF(I414="Occasional",1,0))))+K414+L414+M414+N414</f>
        <v/>
      </c>
      <c r="Q414" s="2">
        <f>IF(P414&gt;=20,"High-value beta",IF(P414&gt;=15,"Beta candidate",IF(P414&gt;=10,"Waitlist","Nurture")))</f>
        <v/>
      </c>
      <c r="R414" s="2" t="n"/>
      <c r="S414" s="2" t="n"/>
      <c r="T414" s="2" t="n"/>
      <c r="U414" s="2" t="n"/>
      <c r="V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>
        <f>IF(I415="Weekly",5,IF(I415="Monthly",4,IF(I415="Quarterly",2,IF(I415="Occasional",1,0))))+K415+L415+M415+N415</f>
        <v/>
      </c>
      <c r="Q415" s="2">
        <f>IF(P415&gt;=20,"High-value beta",IF(P415&gt;=15,"Beta candidate",IF(P415&gt;=10,"Waitlist","Nurture")))</f>
        <v/>
      </c>
      <c r="R415" s="2" t="n"/>
      <c r="S415" s="2" t="n"/>
      <c r="T415" s="2" t="n"/>
      <c r="U415" s="2" t="n"/>
      <c r="V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>
        <f>IF(I416="Weekly",5,IF(I416="Monthly",4,IF(I416="Quarterly",2,IF(I416="Occasional",1,0))))+K416+L416+M416+N416</f>
        <v/>
      </c>
      <c r="Q416" s="2">
        <f>IF(P416&gt;=20,"High-value beta",IF(P416&gt;=15,"Beta candidate",IF(P416&gt;=10,"Waitlist","Nurture")))</f>
        <v/>
      </c>
      <c r="R416" s="2" t="n"/>
      <c r="S416" s="2" t="n"/>
      <c r="T416" s="2" t="n"/>
      <c r="U416" s="2" t="n"/>
      <c r="V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>
        <f>IF(I417="Weekly",5,IF(I417="Monthly",4,IF(I417="Quarterly",2,IF(I417="Occasional",1,0))))+K417+L417+M417+N417</f>
        <v/>
      </c>
      <c r="Q417" s="2">
        <f>IF(P417&gt;=20,"High-value beta",IF(P417&gt;=15,"Beta candidate",IF(P417&gt;=10,"Waitlist","Nurture")))</f>
        <v/>
      </c>
      <c r="R417" s="2" t="n"/>
      <c r="S417" s="2" t="n"/>
      <c r="T417" s="2" t="n"/>
      <c r="U417" s="2" t="n"/>
      <c r="V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>
        <f>IF(I418="Weekly",5,IF(I418="Monthly",4,IF(I418="Quarterly",2,IF(I418="Occasional",1,0))))+K418+L418+M418+N418</f>
        <v/>
      </c>
      <c r="Q418" s="2">
        <f>IF(P418&gt;=20,"High-value beta",IF(P418&gt;=15,"Beta candidate",IF(P418&gt;=10,"Waitlist","Nurture")))</f>
        <v/>
      </c>
      <c r="R418" s="2" t="n"/>
      <c r="S418" s="2" t="n"/>
      <c r="T418" s="2" t="n"/>
      <c r="U418" s="2" t="n"/>
      <c r="V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>
        <f>IF(I419="Weekly",5,IF(I419="Monthly",4,IF(I419="Quarterly",2,IF(I419="Occasional",1,0))))+K419+L419+M419+N419</f>
        <v/>
      </c>
      <c r="Q419" s="2">
        <f>IF(P419&gt;=20,"High-value beta",IF(P419&gt;=15,"Beta candidate",IF(P419&gt;=10,"Waitlist","Nurture")))</f>
        <v/>
      </c>
      <c r="R419" s="2" t="n"/>
      <c r="S419" s="2" t="n"/>
      <c r="T419" s="2" t="n"/>
      <c r="U419" s="2" t="n"/>
      <c r="V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>
        <f>IF(I420="Weekly",5,IF(I420="Monthly",4,IF(I420="Quarterly",2,IF(I420="Occasional",1,0))))+K420+L420+M420+N420</f>
        <v/>
      </c>
      <c r="Q420" s="2">
        <f>IF(P420&gt;=20,"High-value beta",IF(P420&gt;=15,"Beta candidate",IF(P420&gt;=10,"Waitlist","Nurture")))</f>
        <v/>
      </c>
      <c r="R420" s="2" t="n"/>
      <c r="S420" s="2" t="n"/>
      <c r="T420" s="2" t="n"/>
      <c r="U420" s="2" t="n"/>
      <c r="V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>
        <f>IF(I421="Weekly",5,IF(I421="Monthly",4,IF(I421="Quarterly",2,IF(I421="Occasional",1,0))))+K421+L421+M421+N421</f>
        <v/>
      </c>
      <c r="Q421" s="2">
        <f>IF(P421&gt;=20,"High-value beta",IF(P421&gt;=15,"Beta candidate",IF(P421&gt;=10,"Waitlist","Nurture")))</f>
        <v/>
      </c>
      <c r="R421" s="2" t="n"/>
      <c r="S421" s="2" t="n"/>
      <c r="T421" s="2" t="n"/>
      <c r="U421" s="2" t="n"/>
      <c r="V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>
        <f>IF(I422="Weekly",5,IF(I422="Monthly",4,IF(I422="Quarterly",2,IF(I422="Occasional",1,0))))+K422+L422+M422+N422</f>
        <v/>
      </c>
      <c r="Q422" s="2">
        <f>IF(P422&gt;=20,"High-value beta",IF(P422&gt;=15,"Beta candidate",IF(P422&gt;=10,"Waitlist","Nurture")))</f>
        <v/>
      </c>
      <c r="R422" s="2" t="n"/>
      <c r="S422" s="2" t="n"/>
      <c r="T422" s="2" t="n"/>
      <c r="U422" s="2" t="n"/>
      <c r="V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>
        <f>IF(I423="Weekly",5,IF(I423="Monthly",4,IF(I423="Quarterly",2,IF(I423="Occasional",1,0))))+K423+L423+M423+N423</f>
        <v/>
      </c>
      <c r="Q423" s="2">
        <f>IF(P423&gt;=20,"High-value beta",IF(P423&gt;=15,"Beta candidate",IF(P423&gt;=10,"Waitlist","Nurture")))</f>
        <v/>
      </c>
      <c r="R423" s="2" t="n"/>
      <c r="S423" s="2" t="n"/>
      <c r="T423" s="2" t="n"/>
      <c r="U423" s="2" t="n"/>
      <c r="V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>
        <f>IF(I424="Weekly",5,IF(I424="Monthly",4,IF(I424="Quarterly",2,IF(I424="Occasional",1,0))))+K424+L424+M424+N424</f>
        <v/>
      </c>
      <c r="Q424" s="2">
        <f>IF(P424&gt;=20,"High-value beta",IF(P424&gt;=15,"Beta candidate",IF(P424&gt;=10,"Waitlist","Nurture")))</f>
        <v/>
      </c>
      <c r="R424" s="2" t="n"/>
      <c r="S424" s="2" t="n"/>
      <c r="T424" s="2" t="n"/>
      <c r="U424" s="2" t="n"/>
      <c r="V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>
        <f>IF(I425="Weekly",5,IF(I425="Monthly",4,IF(I425="Quarterly",2,IF(I425="Occasional",1,0))))+K425+L425+M425+N425</f>
        <v/>
      </c>
      <c r="Q425" s="2">
        <f>IF(P425&gt;=20,"High-value beta",IF(P425&gt;=15,"Beta candidate",IF(P425&gt;=10,"Waitlist","Nurture")))</f>
        <v/>
      </c>
      <c r="R425" s="2" t="n"/>
      <c r="S425" s="2" t="n"/>
      <c r="T425" s="2" t="n"/>
      <c r="U425" s="2" t="n"/>
      <c r="V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>
        <f>IF(I426="Weekly",5,IF(I426="Monthly",4,IF(I426="Quarterly",2,IF(I426="Occasional",1,0))))+K426+L426+M426+N426</f>
        <v/>
      </c>
      <c r="Q426" s="2">
        <f>IF(P426&gt;=20,"High-value beta",IF(P426&gt;=15,"Beta candidate",IF(P426&gt;=10,"Waitlist","Nurture")))</f>
        <v/>
      </c>
      <c r="R426" s="2" t="n"/>
      <c r="S426" s="2" t="n"/>
      <c r="T426" s="2" t="n"/>
      <c r="U426" s="2" t="n"/>
      <c r="V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>
        <f>IF(I427="Weekly",5,IF(I427="Monthly",4,IF(I427="Quarterly",2,IF(I427="Occasional",1,0))))+K427+L427+M427+N427</f>
        <v/>
      </c>
      <c r="Q427" s="2">
        <f>IF(P427&gt;=20,"High-value beta",IF(P427&gt;=15,"Beta candidate",IF(P427&gt;=10,"Waitlist","Nurture")))</f>
        <v/>
      </c>
      <c r="R427" s="2" t="n"/>
      <c r="S427" s="2" t="n"/>
      <c r="T427" s="2" t="n"/>
      <c r="U427" s="2" t="n"/>
      <c r="V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>
        <f>IF(I428="Weekly",5,IF(I428="Monthly",4,IF(I428="Quarterly",2,IF(I428="Occasional",1,0))))+K428+L428+M428+N428</f>
        <v/>
      </c>
      <c r="Q428" s="2">
        <f>IF(P428&gt;=20,"High-value beta",IF(P428&gt;=15,"Beta candidate",IF(P428&gt;=10,"Waitlist","Nurture")))</f>
        <v/>
      </c>
      <c r="R428" s="2" t="n"/>
      <c r="S428" s="2" t="n"/>
      <c r="T428" s="2" t="n"/>
      <c r="U428" s="2" t="n"/>
      <c r="V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>
        <f>IF(I429="Weekly",5,IF(I429="Monthly",4,IF(I429="Quarterly",2,IF(I429="Occasional",1,0))))+K429+L429+M429+N429</f>
        <v/>
      </c>
      <c r="Q429" s="2">
        <f>IF(P429&gt;=20,"High-value beta",IF(P429&gt;=15,"Beta candidate",IF(P429&gt;=10,"Waitlist","Nurture")))</f>
        <v/>
      </c>
      <c r="R429" s="2" t="n"/>
      <c r="S429" s="2" t="n"/>
      <c r="T429" s="2" t="n"/>
      <c r="U429" s="2" t="n"/>
      <c r="V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>
        <f>IF(I430="Weekly",5,IF(I430="Monthly",4,IF(I430="Quarterly",2,IF(I430="Occasional",1,0))))+K430+L430+M430+N430</f>
        <v/>
      </c>
      <c r="Q430" s="2">
        <f>IF(P430&gt;=20,"High-value beta",IF(P430&gt;=15,"Beta candidate",IF(P430&gt;=10,"Waitlist","Nurture")))</f>
        <v/>
      </c>
      <c r="R430" s="2" t="n"/>
      <c r="S430" s="2" t="n"/>
      <c r="T430" s="2" t="n"/>
      <c r="U430" s="2" t="n"/>
      <c r="V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>
        <f>IF(I431="Weekly",5,IF(I431="Monthly",4,IF(I431="Quarterly",2,IF(I431="Occasional",1,0))))+K431+L431+M431+N431</f>
        <v/>
      </c>
      <c r="Q431" s="2">
        <f>IF(P431&gt;=20,"High-value beta",IF(P431&gt;=15,"Beta candidate",IF(P431&gt;=10,"Waitlist","Nurture")))</f>
        <v/>
      </c>
      <c r="R431" s="2" t="n"/>
      <c r="S431" s="2" t="n"/>
      <c r="T431" s="2" t="n"/>
      <c r="U431" s="2" t="n"/>
      <c r="V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>
        <f>IF(I432="Weekly",5,IF(I432="Monthly",4,IF(I432="Quarterly",2,IF(I432="Occasional",1,0))))+K432+L432+M432+N432</f>
        <v/>
      </c>
      <c r="Q432" s="2">
        <f>IF(P432&gt;=20,"High-value beta",IF(P432&gt;=15,"Beta candidate",IF(P432&gt;=10,"Waitlist","Nurture")))</f>
        <v/>
      </c>
      <c r="R432" s="2" t="n"/>
      <c r="S432" s="2" t="n"/>
      <c r="T432" s="2" t="n"/>
      <c r="U432" s="2" t="n"/>
      <c r="V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>
        <f>IF(I433="Weekly",5,IF(I433="Monthly",4,IF(I433="Quarterly",2,IF(I433="Occasional",1,0))))+K433+L433+M433+N433</f>
        <v/>
      </c>
      <c r="Q433" s="2">
        <f>IF(P433&gt;=20,"High-value beta",IF(P433&gt;=15,"Beta candidate",IF(P433&gt;=10,"Waitlist","Nurture")))</f>
        <v/>
      </c>
      <c r="R433" s="2" t="n"/>
      <c r="S433" s="2" t="n"/>
      <c r="T433" s="2" t="n"/>
      <c r="U433" s="2" t="n"/>
      <c r="V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>
        <f>IF(I434="Weekly",5,IF(I434="Monthly",4,IF(I434="Quarterly",2,IF(I434="Occasional",1,0))))+K434+L434+M434+N434</f>
        <v/>
      </c>
      <c r="Q434" s="2">
        <f>IF(P434&gt;=20,"High-value beta",IF(P434&gt;=15,"Beta candidate",IF(P434&gt;=10,"Waitlist","Nurture")))</f>
        <v/>
      </c>
      <c r="R434" s="2" t="n"/>
      <c r="S434" s="2" t="n"/>
      <c r="T434" s="2" t="n"/>
      <c r="U434" s="2" t="n"/>
      <c r="V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>
        <f>IF(I435="Weekly",5,IF(I435="Monthly",4,IF(I435="Quarterly",2,IF(I435="Occasional",1,0))))+K435+L435+M435+N435</f>
        <v/>
      </c>
      <c r="Q435" s="2">
        <f>IF(P435&gt;=20,"High-value beta",IF(P435&gt;=15,"Beta candidate",IF(P435&gt;=10,"Waitlist","Nurture")))</f>
        <v/>
      </c>
      <c r="R435" s="2" t="n"/>
      <c r="S435" s="2" t="n"/>
      <c r="T435" s="2" t="n"/>
      <c r="U435" s="2" t="n"/>
      <c r="V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>
        <f>IF(I436="Weekly",5,IF(I436="Monthly",4,IF(I436="Quarterly",2,IF(I436="Occasional",1,0))))+K436+L436+M436+N436</f>
        <v/>
      </c>
      <c r="Q436" s="2">
        <f>IF(P436&gt;=20,"High-value beta",IF(P436&gt;=15,"Beta candidate",IF(P436&gt;=10,"Waitlist","Nurture")))</f>
        <v/>
      </c>
      <c r="R436" s="2" t="n"/>
      <c r="S436" s="2" t="n"/>
      <c r="T436" s="2" t="n"/>
      <c r="U436" s="2" t="n"/>
      <c r="V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>
        <f>IF(I437="Weekly",5,IF(I437="Monthly",4,IF(I437="Quarterly",2,IF(I437="Occasional",1,0))))+K437+L437+M437+N437</f>
        <v/>
      </c>
      <c r="Q437" s="2">
        <f>IF(P437&gt;=20,"High-value beta",IF(P437&gt;=15,"Beta candidate",IF(P437&gt;=10,"Waitlist","Nurture")))</f>
        <v/>
      </c>
      <c r="R437" s="2" t="n"/>
      <c r="S437" s="2" t="n"/>
      <c r="T437" s="2" t="n"/>
      <c r="U437" s="2" t="n"/>
      <c r="V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>
        <f>IF(I438="Weekly",5,IF(I438="Monthly",4,IF(I438="Quarterly",2,IF(I438="Occasional",1,0))))+K438+L438+M438+N438</f>
        <v/>
      </c>
      <c r="Q438" s="2">
        <f>IF(P438&gt;=20,"High-value beta",IF(P438&gt;=15,"Beta candidate",IF(P438&gt;=10,"Waitlist","Nurture")))</f>
        <v/>
      </c>
      <c r="R438" s="2" t="n"/>
      <c r="S438" s="2" t="n"/>
      <c r="T438" s="2" t="n"/>
      <c r="U438" s="2" t="n"/>
      <c r="V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>
        <f>IF(I439="Weekly",5,IF(I439="Monthly",4,IF(I439="Quarterly",2,IF(I439="Occasional",1,0))))+K439+L439+M439+N439</f>
        <v/>
      </c>
      <c r="Q439" s="2">
        <f>IF(P439&gt;=20,"High-value beta",IF(P439&gt;=15,"Beta candidate",IF(P439&gt;=10,"Waitlist","Nurture")))</f>
        <v/>
      </c>
      <c r="R439" s="2" t="n"/>
      <c r="S439" s="2" t="n"/>
      <c r="T439" s="2" t="n"/>
      <c r="U439" s="2" t="n"/>
      <c r="V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>
        <f>IF(I440="Weekly",5,IF(I440="Monthly",4,IF(I440="Quarterly",2,IF(I440="Occasional",1,0))))+K440+L440+M440+N440</f>
        <v/>
      </c>
      <c r="Q440" s="2">
        <f>IF(P440&gt;=20,"High-value beta",IF(P440&gt;=15,"Beta candidate",IF(P440&gt;=10,"Waitlist","Nurture")))</f>
        <v/>
      </c>
      <c r="R440" s="2" t="n"/>
      <c r="S440" s="2" t="n"/>
      <c r="T440" s="2" t="n"/>
      <c r="U440" s="2" t="n"/>
      <c r="V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>
        <f>IF(I441="Weekly",5,IF(I441="Monthly",4,IF(I441="Quarterly",2,IF(I441="Occasional",1,0))))+K441+L441+M441+N441</f>
        <v/>
      </c>
      <c r="Q441" s="2">
        <f>IF(P441&gt;=20,"High-value beta",IF(P441&gt;=15,"Beta candidate",IF(P441&gt;=10,"Waitlist","Nurture")))</f>
        <v/>
      </c>
      <c r="R441" s="2" t="n"/>
      <c r="S441" s="2" t="n"/>
      <c r="T441" s="2" t="n"/>
      <c r="U441" s="2" t="n"/>
      <c r="V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>
        <f>IF(I442="Weekly",5,IF(I442="Monthly",4,IF(I442="Quarterly",2,IF(I442="Occasional",1,0))))+K442+L442+M442+N442</f>
        <v/>
      </c>
      <c r="Q442" s="2">
        <f>IF(P442&gt;=20,"High-value beta",IF(P442&gt;=15,"Beta candidate",IF(P442&gt;=10,"Waitlist","Nurture")))</f>
        <v/>
      </c>
      <c r="R442" s="2" t="n"/>
      <c r="S442" s="2" t="n"/>
      <c r="T442" s="2" t="n"/>
      <c r="U442" s="2" t="n"/>
      <c r="V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>
        <f>IF(I443="Weekly",5,IF(I443="Monthly",4,IF(I443="Quarterly",2,IF(I443="Occasional",1,0))))+K443+L443+M443+N443</f>
        <v/>
      </c>
      <c r="Q443" s="2">
        <f>IF(P443&gt;=20,"High-value beta",IF(P443&gt;=15,"Beta candidate",IF(P443&gt;=10,"Waitlist","Nurture")))</f>
        <v/>
      </c>
      <c r="R443" s="2" t="n"/>
      <c r="S443" s="2" t="n"/>
      <c r="T443" s="2" t="n"/>
      <c r="U443" s="2" t="n"/>
      <c r="V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>
        <f>IF(I444="Weekly",5,IF(I444="Monthly",4,IF(I444="Quarterly",2,IF(I444="Occasional",1,0))))+K444+L444+M444+N444</f>
        <v/>
      </c>
      <c r="Q444" s="2">
        <f>IF(P444&gt;=20,"High-value beta",IF(P444&gt;=15,"Beta candidate",IF(P444&gt;=10,"Waitlist","Nurture")))</f>
        <v/>
      </c>
      <c r="R444" s="2" t="n"/>
      <c r="S444" s="2" t="n"/>
      <c r="T444" s="2" t="n"/>
      <c r="U444" s="2" t="n"/>
      <c r="V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>
        <f>IF(I445="Weekly",5,IF(I445="Monthly",4,IF(I445="Quarterly",2,IF(I445="Occasional",1,0))))+K445+L445+M445+N445</f>
        <v/>
      </c>
      <c r="Q445" s="2">
        <f>IF(P445&gt;=20,"High-value beta",IF(P445&gt;=15,"Beta candidate",IF(P445&gt;=10,"Waitlist","Nurture")))</f>
        <v/>
      </c>
      <c r="R445" s="2" t="n"/>
      <c r="S445" s="2" t="n"/>
      <c r="T445" s="2" t="n"/>
      <c r="U445" s="2" t="n"/>
      <c r="V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>
        <f>IF(I446="Weekly",5,IF(I446="Monthly",4,IF(I446="Quarterly",2,IF(I446="Occasional",1,0))))+K446+L446+M446+N446</f>
        <v/>
      </c>
      <c r="Q446" s="2">
        <f>IF(P446&gt;=20,"High-value beta",IF(P446&gt;=15,"Beta candidate",IF(P446&gt;=10,"Waitlist","Nurture")))</f>
        <v/>
      </c>
      <c r="R446" s="2" t="n"/>
      <c r="S446" s="2" t="n"/>
      <c r="T446" s="2" t="n"/>
      <c r="U446" s="2" t="n"/>
      <c r="V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>
        <f>IF(I447="Weekly",5,IF(I447="Monthly",4,IF(I447="Quarterly",2,IF(I447="Occasional",1,0))))+K447+L447+M447+N447</f>
        <v/>
      </c>
      <c r="Q447" s="2">
        <f>IF(P447&gt;=20,"High-value beta",IF(P447&gt;=15,"Beta candidate",IF(P447&gt;=10,"Waitlist","Nurture")))</f>
        <v/>
      </c>
      <c r="R447" s="2" t="n"/>
      <c r="S447" s="2" t="n"/>
      <c r="T447" s="2" t="n"/>
      <c r="U447" s="2" t="n"/>
      <c r="V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>
        <f>IF(I448="Weekly",5,IF(I448="Monthly",4,IF(I448="Quarterly",2,IF(I448="Occasional",1,0))))+K448+L448+M448+N448</f>
        <v/>
      </c>
      <c r="Q448" s="2">
        <f>IF(P448&gt;=20,"High-value beta",IF(P448&gt;=15,"Beta candidate",IF(P448&gt;=10,"Waitlist","Nurture")))</f>
        <v/>
      </c>
      <c r="R448" s="2" t="n"/>
      <c r="S448" s="2" t="n"/>
      <c r="T448" s="2" t="n"/>
      <c r="U448" s="2" t="n"/>
      <c r="V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>
        <f>IF(I449="Weekly",5,IF(I449="Monthly",4,IF(I449="Quarterly",2,IF(I449="Occasional",1,0))))+K449+L449+M449+N449</f>
        <v/>
      </c>
      <c r="Q449" s="2">
        <f>IF(P449&gt;=20,"High-value beta",IF(P449&gt;=15,"Beta candidate",IF(P449&gt;=10,"Waitlist","Nurture")))</f>
        <v/>
      </c>
      <c r="R449" s="2" t="n"/>
      <c r="S449" s="2" t="n"/>
      <c r="T449" s="2" t="n"/>
      <c r="U449" s="2" t="n"/>
      <c r="V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>
        <f>IF(I450="Weekly",5,IF(I450="Monthly",4,IF(I450="Quarterly",2,IF(I450="Occasional",1,0))))+K450+L450+M450+N450</f>
        <v/>
      </c>
      <c r="Q450" s="2">
        <f>IF(P450&gt;=20,"High-value beta",IF(P450&gt;=15,"Beta candidate",IF(P450&gt;=10,"Waitlist","Nurture")))</f>
        <v/>
      </c>
      <c r="R450" s="2" t="n"/>
      <c r="S450" s="2" t="n"/>
      <c r="T450" s="2" t="n"/>
      <c r="U450" s="2" t="n"/>
      <c r="V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>
        <f>IF(I451="Weekly",5,IF(I451="Monthly",4,IF(I451="Quarterly",2,IF(I451="Occasional",1,0))))+K451+L451+M451+N451</f>
        <v/>
      </c>
      <c r="Q451" s="2">
        <f>IF(P451&gt;=20,"High-value beta",IF(P451&gt;=15,"Beta candidate",IF(P451&gt;=10,"Waitlist","Nurture")))</f>
        <v/>
      </c>
      <c r="R451" s="2" t="n"/>
      <c r="S451" s="2" t="n"/>
      <c r="T451" s="2" t="n"/>
      <c r="U451" s="2" t="n"/>
      <c r="V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>
        <f>IF(I452="Weekly",5,IF(I452="Monthly",4,IF(I452="Quarterly",2,IF(I452="Occasional",1,0))))+K452+L452+M452+N452</f>
        <v/>
      </c>
      <c r="Q452" s="2">
        <f>IF(P452&gt;=20,"High-value beta",IF(P452&gt;=15,"Beta candidate",IF(P452&gt;=10,"Waitlist","Nurture")))</f>
        <v/>
      </c>
      <c r="R452" s="2" t="n"/>
      <c r="S452" s="2" t="n"/>
      <c r="T452" s="2" t="n"/>
      <c r="U452" s="2" t="n"/>
      <c r="V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>
        <f>IF(I453="Weekly",5,IF(I453="Monthly",4,IF(I453="Quarterly",2,IF(I453="Occasional",1,0))))+K453+L453+M453+N453</f>
        <v/>
      </c>
      <c r="Q453" s="2">
        <f>IF(P453&gt;=20,"High-value beta",IF(P453&gt;=15,"Beta candidate",IF(P453&gt;=10,"Waitlist","Nurture")))</f>
        <v/>
      </c>
      <c r="R453" s="2" t="n"/>
      <c r="S453" s="2" t="n"/>
      <c r="T453" s="2" t="n"/>
      <c r="U453" s="2" t="n"/>
      <c r="V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>
        <f>IF(I454="Weekly",5,IF(I454="Monthly",4,IF(I454="Quarterly",2,IF(I454="Occasional",1,0))))+K454+L454+M454+N454</f>
        <v/>
      </c>
      <c r="Q454" s="2">
        <f>IF(P454&gt;=20,"High-value beta",IF(P454&gt;=15,"Beta candidate",IF(P454&gt;=10,"Waitlist","Nurture")))</f>
        <v/>
      </c>
      <c r="R454" s="2" t="n"/>
      <c r="S454" s="2" t="n"/>
      <c r="T454" s="2" t="n"/>
      <c r="U454" s="2" t="n"/>
      <c r="V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>
        <f>IF(I455="Weekly",5,IF(I455="Monthly",4,IF(I455="Quarterly",2,IF(I455="Occasional",1,0))))+K455+L455+M455+N455</f>
        <v/>
      </c>
      <c r="Q455" s="2">
        <f>IF(P455&gt;=20,"High-value beta",IF(P455&gt;=15,"Beta candidate",IF(P455&gt;=10,"Waitlist","Nurture")))</f>
        <v/>
      </c>
      <c r="R455" s="2" t="n"/>
      <c r="S455" s="2" t="n"/>
      <c r="T455" s="2" t="n"/>
      <c r="U455" s="2" t="n"/>
      <c r="V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>
        <f>IF(I456="Weekly",5,IF(I456="Monthly",4,IF(I456="Quarterly",2,IF(I456="Occasional",1,0))))+K456+L456+M456+N456</f>
        <v/>
      </c>
      <c r="Q456" s="2">
        <f>IF(P456&gt;=20,"High-value beta",IF(P456&gt;=15,"Beta candidate",IF(P456&gt;=10,"Waitlist","Nurture")))</f>
        <v/>
      </c>
      <c r="R456" s="2" t="n"/>
      <c r="S456" s="2" t="n"/>
      <c r="T456" s="2" t="n"/>
      <c r="U456" s="2" t="n"/>
      <c r="V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>
        <f>IF(I457="Weekly",5,IF(I457="Monthly",4,IF(I457="Quarterly",2,IF(I457="Occasional",1,0))))+K457+L457+M457+N457</f>
        <v/>
      </c>
      <c r="Q457" s="2">
        <f>IF(P457&gt;=20,"High-value beta",IF(P457&gt;=15,"Beta candidate",IF(P457&gt;=10,"Waitlist","Nurture")))</f>
        <v/>
      </c>
      <c r="R457" s="2" t="n"/>
      <c r="S457" s="2" t="n"/>
      <c r="T457" s="2" t="n"/>
      <c r="U457" s="2" t="n"/>
      <c r="V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>
        <f>IF(I458="Weekly",5,IF(I458="Monthly",4,IF(I458="Quarterly",2,IF(I458="Occasional",1,0))))+K458+L458+M458+N458</f>
        <v/>
      </c>
      <c r="Q458" s="2">
        <f>IF(P458&gt;=20,"High-value beta",IF(P458&gt;=15,"Beta candidate",IF(P458&gt;=10,"Waitlist","Nurture")))</f>
        <v/>
      </c>
      <c r="R458" s="2" t="n"/>
      <c r="S458" s="2" t="n"/>
      <c r="T458" s="2" t="n"/>
      <c r="U458" s="2" t="n"/>
      <c r="V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>
        <f>IF(I459="Weekly",5,IF(I459="Monthly",4,IF(I459="Quarterly",2,IF(I459="Occasional",1,0))))+K459+L459+M459+N459</f>
        <v/>
      </c>
      <c r="Q459" s="2">
        <f>IF(P459&gt;=20,"High-value beta",IF(P459&gt;=15,"Beta candidate",IF(P459&gt;=10,"Waitlist","Nurture")))</f>
        <v/>
      </c>
      <c r="R459" s="2" t="n"/>
      <c r="S459" s="2" t="n"/>
      <c r="T459" s="2" t="n"/>
      <c r="U459" s="2" t="n"/>
      <c r="V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>
        <f>IF(I460="Weekly",5,IF(I460="Monthly",4,IF(I460="Quarterly",2,IF(I460="Occasional",1,0))))+K460+L460+M460+N460</f>
        <v/>
      </c>
      <c r="Q460" s="2">
        <f>IF(P460&gt;=20,"High-value beta",IF(P460&gt;=15,"Beta candidate",IF(P460&gt;=10,"Waitlist","Nurture")))</f>
        <v/>
      </c>
      <c r="R460" s="2" t="n"/>
      <c r="S460" s="2" t="n"/>
      <c r="T460" s="2" t="n"/>
      <c r="U460" s="2" t="n"/>
      <c r="V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>
        <f>IF(I461="Weekly",5,IF(I461="Monthly",4,IF(I461="Quarterly",2,IF(I461="Occasional",1,0))))+K461+L461+M461+N461</f>
        <v/>
      </c>
      <c r="Q461" s="2">
        <f>IF(P461&gt;=20,"High-value beta",IF(P461&gt;=15,"Beta candidate",IF(P461&gt;=10,"Waitlist","Nurture")))</f>
        <v/>
      </c>
      <c r="R461" s="2" t="n"/>
      <c r="S461" s="2" t="n"/>
      <c r="T461" s="2" t="n"/>
      <c r="U461" s="2" t="n"/>
      <c r="V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>
        <f>IF(I462="Weekly",5,IF(I462="Monthly",4,IF(I462="Quarterly",2,IF(I462="Occasional",1,0))))+K462+L462+M462+N462</f>
        <v/>
      </c>
      <c r="Q462" s="2">
        <f>IF(P462&gt;=20,"High-value beta",IF(P462&gt;=15,"Beta candidate",IF(P462&gt;=10,"Waitlist","Nurture")))</f>
        <v/>
      </c>
      <c r="R462" s="2" t="n"/>
      <c r="S462" s="2" t="n"/>
      <c r="T462" s="2" t="n"/>
      <c r="U462" s="2" t="n"/>
      <c r="V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>
        <f>IF(I463="Weekly",5,IF(I463="Monthly",4,IF(I463="Quarterly",2,IF(I463="Occasional",1,0))))+K463+L463+M463+N463</f>
        <v/>
      </c>
      <c r="Q463" s="2">
        <f>IF(P463&gt;=20,"High-value beta",IF(P463&gt;=15,"Beta candidate",IF(P463&gt;=10,"Waitlist","Nurture")))</f>
        <v/>
      </c>
      <c r="R463" s="2" t="n"/>
      <c r="S463" s="2" t="n"/>
      <c r="T463" s="2" t="n"/>
      <c r="U463" s="2" t="n"/>
      <c r="V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>
        <f>IF(I464="Weekly",5,IF(I464="Monthly",4,IF(I464="Quarterly",2,IF(I464="Occasional",1,0))))+K464+L464+M464+N464</f>
        <v/>
      </c>
      <c r="Q464" s="2">
        <f>IF(P464&gt;=20,"High-value beta",IF(P464&gt;=15,"Beta candidate",IF(P464&gt;=10,"Waitlist","Nurture")))</f>
        <v/>
      </c>
      <c r="R464" s="2" t="n"/>
      <c r="S464" s="2" t="n"/>
      <c r="T464" s="2" t="n"/>
      <c r="U464" s="2" t="n"/>
      <c r="V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>
        <f>IF(I465="Weekly",5,IF(I465="Monthly",4,IF(I465="Quarterly",2,IF(I465="Occasional",1,0))))+K465+L465+M465+N465</f>
        <v/>
      </c>
      <c r="Q465" s="2">
        <f>IF(P465&gt;=20,"High-value beta",IF(P465&gt;=15,"Beta candidate",IF(P465&gt;=10,"Waitlist","Nurture")))</f>
        <v/>
      </c>
      <c r="R465" s="2" t="n"/>
      <c r="S465" s="2" t="n"/>
      <c r="T465" s="2" t="n"/>
      <c r="U465" s="2" t="n"/>
      <c r="V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>
        <f>IF(I466="Weekly",5,IF(I466="Monthly",4,IF(I466="Quarterly",2,IF(I466="Occasional",1,0))))+K466+L466+M466+N466</f>
        <v/>
      </c>
      <c r="Q466" s="2">
        <f>IF(P466&gt;=20,"High-value beta",IF(P466&gt;=15,"Beta candidate",IF(P466&gt;=10,"Waitlist","Nurture")))</f>
        <v/>
      </c>
      <c r="R466" s="2" t="n"/>
      <c r="S466" s="2" t="n"/>
      <c r="T466" s="2" t="n"/>
      <c r="U466" s="2" t="n"/>
      <c r="V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>
        <f>IF(I467="Weekly",5,IF(I467="Monthly",4,IF(I467="Quarterly",2,IF(I467="Occasional",1,0))))+K467+L467+M467+N467</f>
        <v/>
      </c>
      <c r="Q467" s="2">
        <f>IF(P467&gt;=20,"High-value beta",IF(P467&gt;=15,"Beta candidate",IF(P467&gt;=10,"Waitlist","Nurture")))</f>
        <v/>
      </c>
      <c r="R467" s="2" t="n"/>
      <c r="S467" s="2" t="n"/>
      <c r="T467" s="2" t="n"/>
      <c r="U467" s="2" t="n"/>
      <c r="V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>
        <f>IF(I468="Weekly",5,IF(I468="Monthly",4,IF(I468="Quarterly",2,IF(I468="Occasional",1,0))))+K468+L468+M468+N468</f>
        <v/>
      </c>
      <c r="Q468" s="2">
        <f>IF(P468&gt;=20,"High-value beta",IF(P468&gt;=15,"Beta candidate",IF(P468&gt;=10,"Waitlist","Nurture")))</f>
        <v/>
      </c>
      <c r="R468" s="2" t="n"/>
      <c r="S468" s="2" t="n"/>
      <c r="T468" s="2" t="n"/>
      <c r="U468" s="2" t="n"/>
      <c r="V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>
        <f>IF(I469="Weekly",5,IF(I469="Monthly",4,IF(I469="Quarterly",2,IF(I469="Occasional",1,0))))+K469+L469+M469+N469</f>
        <v/>
      </c>
      <c r="Q469" s="2">
        <f>IF(P469&gt;=20,"High-value beta",IF(P469&gt;=15,"Beta candidate",IF(P469&gt;=10,"Waitlist","Nurture")))</f>
        <v/>
      </c>
      <c r="R469" s="2" t="n"/>
      <c r="S469" s="2" t="n"/>
      <c r="T469" s="2" t="n"/>
      <c r="U469" s="2" t="n"/>
      <c r="V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>
        <f>IF(I470="Weekly",5,IF(I470="Monthly",4,IF(I470="Quarterly",2,IF(I470="Occasional",1,0))))+K470+L470+M470+N470</f>
        <v/>
      </c>
      <c r="Q470" s="2">
        <f>IF(P470&gt;=20,"High-value beta",IF(P470&gt;=15,"Beta candidate",IF(P470&gt;=10,"Waitlist","Nurture")))</f>
        <v/>
      </c>
      <c r="R470" s="2" t="n"/>
      <c r="S470" s="2" t="n"/>
      <c r="T470" s="2" t="n"/>
      <c r="U470" s="2" t="n"/>
      <c r="V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>
        <f>IF(I471="Weekly",5,IF(I471="Monthly",4,IF(I471="Quarterly",2,IF(I471="Occasional",1,0))))+K471+L471+M471+N471</f>
        <v/>
      </c>
      <c r="Q471" s="2">
        <f>IF(P471&gt;=20,"High-value beta",IF(P471&gt;=15,"Beta candidate",IF(P471&gt;=10,"Waitlist","Nurture")))</f>
        <v/>
      </c>
      <c r="R471" s="2" t="n"/>
      <c r="S471" s="2" t="n"/>
      <c r="T471" s="2" t="n"/>
      <c r="U471" s="2" t="n"/>
      <c r="V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>
        <f>IF(I472="Weekly",5,IF(I472="Monthly",4,IF(I472="Quarterly",2,IF(I472="Occasional",1,0))))+K472+L472+M472+N472</f>
        <v/>
      </c>
      <c r="Q472" s="2">
        <f>IF(P472&gt;=20,"High-value beta",IF(P472&gt;=15,"Beta candidate",IF(P472&gt;=10,"Waitlist","Nurture")))</f>
        <v/>
      </c>
      <c r="R472" s="2" t="n"/>
      <c r="S472" s="2" t="n"/>
      <c r="T472" s="2" t="n"/>
      <c r="U472" s="2" t="n"/>
      <c r="V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>
        <f>IF(I473="Weekly",5,IF(I473="Monthly",4,IF(I473="Quarterly",2,IF(I473="Occasional",1,0))))+K473+L473+M473+N473</f>
        <v/>
      </c>
      <c r="Q473" s="2">
        <f>IF(P473&gt;=20,"High-value beta",IF(P473&gt;=15,"Beta candidate",IF(P473&gt;=10,"Waitlist","Nurture")))</f>
        <v/>
      </c>
      <c r="R473" s="2" t="n"/>
      <c r="S473" s="2" t="n"/>
      <c r="T473" s="2" t="n"/>
      <c r="U473" s="2" t="n"/>
      <c r="V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>
        <f>IF(I474="Weekly",5,IF(I474="Monthly",4,IF(I474="Quarterly",2,IF(I474="Occasional",1,0))))+K474+L474+M474+N474</f>
        <v/>
      </c>
      <c r="Q474" s="2">
        <f>IF(P474&gt;=20,"High-value beta",IF(P474&gt;=15,"Beta candidate",IF(P474&gt;=10,"Waitlist","Nurture")))</f>
        <v/>
      </c>
      <c r="R474" s="2" t="n"/>
      <c r="S474" s="2" t="n"/>
      <c r="T474" s="2" t="n"/>
      <c r="U474" s="2" t="n"/>
      <c r="V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>
        <f>IF(I475="Weekly",5,IF(I475="Monthly",4,IF(I475="Quarterly",2,IF(I475="Occasional",1,0))))+K475+L475+M475+N475</f>
        <v/>
      </c>
      <c r="Q475" s="2">
        <f>IF(P475&gt;=20,"High-value beta",IF(P475&gt;=15,"Beta candidate",IF(P475&gt;=10,"Waitlist","Nurture")))</f>
        <v/>
      </c>
      <c r="R475" s="2" t="n"/>
      <c r="S475" s="2" t="n"/>
      <c r="T475" s="2" t="n"/>
      <c r="U475" s="2" t="n"/>
      <c r="V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>
        <f>IF(I476="Weekly",5,IF(I476="Monthly",4,IF(I476="Quarterly",2,IF(I476="Occasional",1,0))))+K476+L476+M476+N476</f>
        <v/>
      </c>
      <c r="Q476" s="2">
        <f>IF(P476&gt;=20,"High-value beta",IF(P476&gt;=15,"Beta candidate",IF(P476&gt;=10,"Waitlist","Nurture")))</f>
        <v/>
      </c>
      <c r="R476" s="2" t="n"/>
      <c r="S476" s="2" t="n"/>
      <c r="T476" s="2" t="n"/>
      <c r="U476" s="2" t="n"/>
      <c r="V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>
        <f>IF(I477="Weekly",5,IF(I477="Monthly",4,IF(I477="Quarterly",2,IF(I477="Occasional",1,0))))+K477+L477+M477+N477</f>
        <v/>
      </c>
      <c r="Q477" s="2">
        <f>IF(P477&gt;=20,"High-value beta",IF(P477&gt;=15,"Beta candidate",IF(P477&gt;=10,"Waitlist","Nurture")))</f>
        <v/>
      </c>
      <c r="R477" s="2" t="n"/>
      <c r="S477" s="2" t="n"/>
      <c r="T477" s="2" t="n"/>
      <c r="U477" s="2" t="n"/>
      <c r="V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>
        <f>IF(I478="Weekly",5,IF(I478="Monthly",4,IF(I478="Quarterly",2,IF(I478="Occasional",1,0))))+K478+L478+M478+N478</f>
        <v/>
      </c>
      <c r="Q478" s="2">
        <f>IF(P478&gt;=20,"High-value beta",IF(P478&gt;=15,"Beta candidate",IF(P478&gt;=10,"Waitlist","Nurture")))</f>
        <v/>
      </c>
      <c r="R478" s="2" t="n"/>
      <c r="S478" s="2" t="n"/>
      <c r="T478" s="2" t="n"/>
      <c r="U478" s="2" t="n"/>
      <c r="V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>
        <f>IF(I479="Weekly",5,IF(I479="Monthly",4,IF(I479="Quarterly",2,IF(I479="Occasional",1,0))))+K479+L479+M479+N479</f>
        <v/>
      </c>
      <c r="Q479" s="2">
        <f>IF(P479&gt;=20,"High-value beta",IF(P479&gt;=15,"Beta candidate",IF(P479&gt;=10,"Waitlist","Nurture")))</f>
        <v/>
      </c>
      <c r="R479" s="2" t="n"/>
      <c r="S479" s="2" t="n"/>
      <c r="T479" s="2" t="n"/>
      <c r="U479" s="2" t="n"/>
      <c r="V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>
        <f>IF(I480="Weekly",5,IF(I480="Monthly",4,IF(I480="Quarterly",2,IF(I480="Occasional",1,0))))+K480+L480+M480+N480</f>
        <v/>
      </c>
      <c r="Q480" s="2">
        <f>IF(P480&gt;=20,"High-value beta",IF(P480&gt;=15,"Beta candidate",IF(P480&gt;=10,"Waitlist","Nurture")))</f>
        <v/>
      </c>
      <c r="R480" s="2" t="n"/>
      <c r="S480" s="2" t="n"/>
      <c r="T480" s="2" t="n"/>
      <c r="U480" s="2" t="n"/>
      <c r="V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>
        <f>IF(I481="Weekly",5,IF(I481="Monthly",4,IF(I481="Quarterly",2,IF(I481="Occasional",1,0))))+K481+L481+M481+N481</f>
        <v/>
      </c>
      <c r="Q481" s="2">
        <f>IF(P481&gt;=20,"High-value beta",IF(P481&gt;=15,"Beta candidate",IF(P481&gt;=10,"Waitlist","Nurture")))</f>
        <v/>
      </c>
      <c r="R481" s="2" t="n"/>
      <c r="S481" s="2" t="n"/>
      <c r="T481" s="2" t="n"/>
      <c r="U481" s="2" t="n"/>
      <c r="V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>
        <f>IF(I482="Weekly",5,IF(I482="Monthly",4,IF(I482="Quarterly",2,IF(I482="Occasional",1,0))))+K482+L482+M482+N482</f>
        <v/>
      </c>
      <c r="Q482" s="2">
        <f>IF(P482&gt;=20,"High-value beta",IF(P482&gt;=15,"Beta candidate",IF(P482&gt;=10,"Waitlist","Nurture")))</f>
        <v/>
      </c>
      <c r="R482" s="2" t="n"/>
      <c r="S482" s="2" t="n"/>
      <c r="T482" s="2" t="n"/>
      <c r="U482" s="2" t="n"/>
      <c r="V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>
        <f>IF(I483="Weekly",5,IF(I483="Monthly",4,IF(I483="Quarterly",2,IF(I483="Occasional",1,0))))+K483+L483+M483+N483</f>
        <v/>
      </c>
      <c r="Q483" s="2">
        <f>IF(P483&gt;=20,"High-value beta",IF(P483&gt;=15,"Beta candidate",IF(P483&gt;=10,"Waitlist","Nurture")))</f>
        <v/>
      </c>
      <c r="R483" s="2" t="n"/>
      <c r="S483" s="2" t="n"/>
      <c r="T483" s="2" t="n"/>
      <c r="U483" s="2" t="n"/>
      <c r="V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>
        <f>IF(I484="Weekly",5,IF(I484="Monthly",4,IF(I484="Quarterly",2,IF(I484="Occasional",1,0))))+K484+L484+M484+N484</f>
        <v/>
      </c>
      <c r="Q484" s="2">
        <f>IF(P484&gt;=20,"High-value beta",IF(P484&gt;=15,"Beta candidate",IF(P484&gt;=10,"Waitlist","Nurture")))</f>
        <v/>
      </c>
      <c r="R484" s="2" t="n"/>
      <c r="S484" s="2" t="n"/>
      <c r="T484" s="2" t="n"/>
      <c r="U484" s="2" t="n"/>
      <c r="V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>
        <f>IF(I485="Weekly",5,IF(I485="Monthly",4,IF(I485="Quarterly",2,IF(I485="Occasional",1,0))))+K485+L485+M485+N485</f>
        <v/>
      </c>
      <c r="Q485" s="2">
        <f>IF(P485&gt;=20,"High-value beta",IF(P485&gt;=15,"Beta candidate",IF(P485&gt;=10,"Waitlist","Nurture")))</f>
        <v/>
      </c>
      <c r="R485" s="2" t="n"/>
      <c r="S485" s="2" t="n"/>
      <c r="T485" s="2" t="n"/>
      <c r="U485" s="2" t="n"/>
      <c r="V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>
        <f>IF(I486="Weekly",5,IF(I486="Monthly",4,IF(I486="Quarterly",2,IF(I486="Occasional",1,0))))+K486+L486+M486+N486</f>
        <v/>
      </c>
      <c r="Q486" s="2">
        <f>IF(P486&gt;=20,"High-value beta",IF(P486&gt;=15,"Beta candidate",IF(P486&gt;=10,"Waitlist","Nurture")))</f>
        <v/>
      </c>
      <c r="R486" s="2" t="n"/>
      <c r="S486" s="2" t="n"/>
      <c r="T486" s="2" t="n"/>
      <c r="U486" s="2" t="n"/>
      <c r="V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>
        <f>IF(I487="Weekly",5,IF(I487="Monthly",4,IF(I487="Quarterly",2,IF(I487="Occasional",1,0))))+K487+L487+M487+N487</f>
        <v/>
      </c>
      <c r="Q487" s="2">
        <f>IF(P487&gt;=20,"High-value beta",IF(P487&gt;=15,"Beta candidate",IF(P487&gt;=10,"Waitlist","Nurture")))</f>
        <v/>
      </c>
      <c r="R487" s="2" t="n"/>
      <c r="S487" s="2" t="n"/>
      <c r="T487" s="2" t="n"/>
      <c r="U487" s="2" t="n"/>
      <c r="V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>
        <f>IF(I488="Weekly",5,IF(I488="Monthly",4,IF(I488="Quarterly",2,IF(I488="Occasional",1,0))))+K488+L488+M488+N488</f>
        <v/>
      </c>
      <c r="Q488" s="2">
        <f>IF(P488&gt;=20,"High-value beta",IF(P488&gt;=15,"Beta candidate",IF(P488&gt;=10,"Waitlist","Nurture")))</f>
        <v/>
      </c>
      <c r="R488" s="2" t="n"/>
      <c r="S488" s="2" t="n"/>
      <c r="T488" s="2" t="n"/>
      <c r="U488" s="2" t="n"/>
      <c r="V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>
        <f>IF(I489="Weekly",5,IF(I489="Monthly",4,IF(I489="Quarterly",2,IF(I489="Occasional",1,0))))+K489+L489+M489+N489</f>
        <v/>
      </c>
      <c r="Q489" s="2">
        <f>IF(P489&gt;=20,"High-value beta",IF(P489&gt;=15,"Beta candidate",IF(P489&gt;=10,"Waitlist","Nurture")))</f>
        <v/>
      </c>
      <c r="R489" s="2" t="n"/>
      <c r="S489" s="2" t="n"/>
      <c r="T489" s="2" t="n"/>
      <c r="U489" s="2" t="n"/>
      <c r="V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>
        <f>IF(I490="Weekly",5,IF(I490="Monthly",4,IF(I490="Quarterly",2,IF(I490="Occasional",1,0))))+K490+L490+M490+N490</f>
        <v/>
      </c>
      <c r="Q490" s="2">
        <f>IF(P490&gt;=20,"High-value beta",IF(P490&gt;=15,"Beta candidate",IF(P490&gt;=10,"Waitlist","Nurture")))</f>
        <v/>
      </c>
      <c r="R490" s="2" t="n"/>
      <c r="S490" s="2" t="n"/>
      <c r="T490" s="2" t="n"/>
      <c r="U490" s="2" t="n"/>
      <c r="V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>
        <f>IF(I491="Weekly",5,IF(I491="Monthly",4,IF(I491="Quarterly",2,IF(I491="Occasional",1,0))))+K491+L491+M491+N491</f>
        <v/>
      </c>
      <c r="Q491" s="2">
        <f>IF(P491&gt;=20,"High-value beta",IF(P491&gt;=15,"Beta candidate",IF(P491&gt;=10,"Waitlist","Nurture")))</f>
        <v/>
      </c>
      <c r="R491" s="2" t="n"/>
      <c r="S491" s="2" t="n"/>
      <c r="T491" s="2" t="n"/>
      <c r="U491" s="2" t="n"/>
      <c r="V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>
        <f>IF(I492="Weekly",5,IF(I492="Monthly",4,IF(I492="Quarterly",2,IF(I492="Occasional",1,0))))+K492+L492+M492+N492</f>
        <v/>
      </c>
      <c r="Q492" s="2">
        <f>IF(P492&gt;=20,"High-value beta",IF(P492&gt;=15,"Beta candidate",IF(P492&gt;=10,"Waitlist","Nurture")))</f>
        <v/>
      </c>
      <c r="R492" s="2" t="n"/>
      <c r="S492" s="2" t="n"/>
      <c r="T492" s="2" t="n"/>
      <c r="U492" s="2" t="n"/>
      <c r="V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>
        <f>IF(I493="Weekly",5,IF(I493="Monthly",4,IF(I493="Quarterly",2,IF(I493="Occasional",1,0))))+K493+L493+M493+N493</f>
        <v/>
      </c>
      <c r="Q493" s="2">
        <f>IF(P493&gt;=20,"High-value beta",IF(P493&gt;=15,"Beta candidate",IF(P493&gt;=10,"Waitlist","Nurture")))</f>
        <v/>
      </c>
      <c r="R493" s="2" t="n"/>
      <c r="S493" s="2" t="n"/>
      <c r="T493" s="2" t="n"/>
      <c r="U493" s="2" t="n"/>
      <c r="V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>
        <f>IF(I494="Weekly",5,IF(I494="Monthly",4,IF(I494="Quarterly",2,IF(I494="Occasional",1,0))))+K494+L494+M494+N494</f>
        <v/>
      </c>
      <c r="Q494" s="2">
        <f>IF(P494&gt;=20,"High-value beta",IF(P494&gt;=15,"Beta candidate",IF(P494&gt;=10,"Waitlist","Nurture")))</f>
        <v/>
      </c>
      <c r="R494" s="2" t="n"/>
      <c r="S494" s="2" t="n"/>
      <c r="T494" s="2" t="n"/>
      <c r="U494" s="2" t="n"/>
      <c r="V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>
        <f>IF(I495="Weekly",5,IF(I495="Monthly",4,IF(I495="Quarterly",2,IF(I495="Occasional",1,0))))+K495+L495+M495+N495</f>
        <v/>
      </c>
      <c r="Q495" s="2">
        <f>IF(P495&gt;=20,"High-value beta",IF(P495&gt;=15,"Beta candidate",IF(P495&gt;=10,"Waitlist","Nurture")))</f>
        <v/>
      </c>
      <c r="R495" s="2" t="n"/>
      <c r="S495" s="2" t="n"/>
      <c r="T495" s="2" t="n"/>
      <c r="U495" s="2" t="n"/>
      <c r="V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>
        <f>IF(I496="Weekly",5,IF(I496="Monthly",4,IF(I496="Quarterly",2,IF(I496="Occasional",1,0))))+K496+L496+M496+N496</f>
        <v/>
      </c>
      <c r="Q496" s="2">
        <f>IF(P496&gt;=20,"High-value beta",IF(P496&gt;=15,"Beta candidate",IF(P496&gt;=10,"Waitlist","Nurture")))</f>
        <v/>
      </c>
      <c r="R496" s="2" t="n"/>
      <c r="S496" s="2" t="n"/>
      <c r="T496" s="2" t="n"/>
      <c r="U496" s="2" t="n"/>
      <c r="V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>
        <f>IF(I497="Weekly",5,IF(I497="Monthly",4,IF(I497="Quarterly",2,IF(I497="Occasional",1,0))))+K497+L497+M497+N497</f>
        <v/>
      </c>
      <c r="Q497" s="2">
        <f>IF(P497&gt;=20,"High-value beta",IF(P497&gt;=15,"Beta candidate",IF(P497&gt;=10,"Waitlist","Nurture")))</f>
        <v/>
      </c>
      <c r="R497" s="2" t="n"/>
      <c r="S497" s="2" t="n"/>
      <c r="T497" s="2" t="n"/>
      <c r="U497" s="2" t="n"/>
      <c r="V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>
        <f>IF(I498="Weekly",5,IF(I498="Monthly",4,IF(I498="Quarterly",2,IF(I498="Occasional",1,0))))+K498+L498+M498+N498</f>
        <v/>
      </c>
      <c r="Q498" s="2">
        <f>IF(P498&gt;=20,"High-value beta",IF(P498&gt;=15,"Beta candidate",IF(P498&gt;=10,"Waitlist","Nurture")))</f>
        <v/>
      </c>
      <c r="R498" s="2" t="n"/>
      <c r="S498" s="2" t="n"/>
      <c r="T498" s="2" t="n"/>
      <c r="U498" s="2" t="n"/>
      <c r="V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>
        <f>IF(I499="Weekly",5,IF(I499="Monthly",4,IF(I499="Quarterly",2,IF(I499="Occasional",1,0))))+K499+L499+M499+N499</f>
        <v/>
      </c>
      <c r="Q499" s="2">
        <f>IF(P499&gt;=20,"High-value beta",IF(P499&gt;=15,"Beta candidate",IF(P499&gt;=10,"Waitlist","Nurture")))</f>
        <v/>
      </c>
      <c r="R499" s="2" t="n"/>
      <c r="S499" s="2" t="n"/>
      <c r="T499" s="2" t="n"/>
      <c r="U499" s="2" t="n"/>
      <c r="V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>
        <f>IF(I500="Weekly",5,IF(I500="Monthly",4,IF(I500="Quarterly",2,IF(I500="Occasional",1,0))))+K500+L500+M500+N500</f>
        <v/>
      </c>
      <c r="Q500" s="2">
        <f>IF(P500&gt;=20,"High-value beta",IF(P500&gt;=15,"Beta candidate",IF(P500&gt;=10,"Waitlist","Nurture")))</f>
        <v/>
      </c>
      <c r="R500" s="2" t="n"/>
      <c r="S500" s="2" t="n"/>
      <c r="T500" s="2" t="n"/>
      <c r="U500" s="2" t="n"/>
      <c r="V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>
        <f>IF(I501="Weekly",5,IF(I501="Monthly",4,IF(I501="Quarterly",2,IF(I501="Occasional",1,0))))+K501+L501+M501+N501</f>
        <v/>
      </c>
      <c r="Q501" s="2">
        <f>IF(P501&gt;=20,"High-value beta",IF(P501&gt;=15,"Beta candidate",IF(P501&gt;=10,"Waitlist","Nurture")))</f>
        <v/>
      </c>
      <c r="R501" s="2" t="n"/>
      <c r="S501" s="2" t="n"/>
      <c r="T501" s="2" t="n"/>
      <c r="U501" s="2" t="n"/>
      <c r="V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>
        <f>IF(I502="Weekly",5,IF(I502="Monthly",4,IF(I502="Quarterly",2,IF(I502="Occasional",1,0))))+K502+L502+M502+N502</f>
        <v/>
      </c>
      <c r="Q502" s="2">
        <f>IF(P502&gt;=20,"High-value beta",IF(P502&gt;=15,"Beta candidate",IF(P502&gt;=10,"Waitlist","Nurture")))</f>
        <v/>
      </c>
      <c r="R502" s="2" t="n"/>
      <c r="S502" s="2" t="n"/>
      <c r="T502" s="2" t="n"/>
      <c r="U502" s="2" t="n"/>
      <c r="V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>
        <f>IF(I503="Weekly",5,IF(I503="Monthly",4,IF(I503="Quarterly",2,IF(I503="Occasional",1,0))))+K503+L503+M503+N503</f>
        <v/>
      </c>
      <c r="Q503" s="2">
        <f>IF(P503&gt;=20,"High-value beta",IF(P503&gt;=15,"Beta candidate",IF(P503&gt;=10,"Waitlist","Nurture")))</f>
        <v/>
      </c>
      <c r="R503" s="2" t="n"/>
      <c r="S503" s="2" t="n"/>
      <c r="T503" s="2" t="n"/>
      <c r="U503" s="2" t="n"/>
      <c r="V503" s="2" t="n"/>
    </row>
  </sheetData>
  <autoFilter ref="A1:V503"/>
  <mergeCells count="1">
    <mergeCell ref="A1:V1"/>
  </mergeCells>
  <conditionalFormatting sqref="P4:P503">
    <cfRule type="colorScale" priority="1">
      <colorScale>
        <cfvo type="num" val="0"/>
        <cfvo type="num" val="15"/>
        <cfvo type="num" val="25"/>
        <color rgb="00FEE4E2"/>
        <color rgb="00FEF0C7"/>
        <color rgb="00D1FADF"/>
      </colorScale>
    </cfRule>
  </conditionalFormatting>
  <dataValidations count="7">
    <dataValidation sqref="O4:O503" showDropDown="0" showInputMessage="0" showErrorMessage="0" allowBlank="0" type="list">
      <formula1>"New,Qualified,Interviewed,Beta invited,Beta active,Nurture,Closed"</formula1>
    </dataValidation>
    <dataValidation sqref="I4:I503" showDropDown="0" showInputMessage="0" showErrorMessage="0" allowBlank="0" type="list">
      <formula1>"Weekly,Monthly,Quarterly,Occasional,Never"</formula1>
    </dataValidation>
    <dataValidation sqref="R4:S503" showDropDown="0" showInputMessage="0" showErrorMessage="0" allowBlank="0" type="list">
      <formula1>"Yes,Maybe,No"</formula1>
    </dataValidation>
    <dataValidation sqref="K4:K503" showDropDown="0" showInputMessage="0" showErrorMessage="0" allowBlank="0" type="whole" operator="between">
      <formula1>0</formula1>
      <formula2>5</formula2>
    </dataValidation>
    <dataValidation sqref="L4:L503" showDropDown="0" showInputMessage="0" showErrorMessage="0" allowBlank="0" type="whole" operator="between">
      <formula1>0</formula1>
      <formula2>5</formula2>
    </dataValidation>
    <dataValidation sqref="M4:M503" showDropDown="0" showInputMessage="0" showErrorMessage="0" allowBlank="0" type="whole" operator="between">
      <formula1>0</formula1>
      <formula2>5</formula2>
    </dataValidation>
    <dataValidation sqref="N4:N503" showDropDown="0" showInputMessage="0" showErrorMessage="0" allowBlank="0" type="whole" operator="between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2" customWidth="1" min="5" max="5"/>
    <col width="30" customWidth="1" min="6" max="6"/>
    <col width="18" customWidth="1" min="7" max="7"/>
    <col width="24" customWidth="1" min="8" max="8"/>
    <col width="14" customWidth="1" min="9" max="9"/>
    <col width="28" customWidth="1" min="10" max="10"/>
    <col width="24" customWidth="1" min="11" max="11"/>
    <col width="18" customWidth="1" min="12" max="12"/>
    <col width="18" customWidth="1" min="13" max="13"/>
    <col width="40" customWidth="1" min="14" max="14"/>
  </cols>
  <sheetData>
    <row r="1" ht="30" customHeight="1">
      <c r="A1" s="1" t="inlineStr">
        <is>
          <t>User Interview Repository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Interview_ID</t>
        </is>
      </c>
      <c r="B3" s="6" t="inlineStr">
        <is>
          <t>Lead_ID</t>
        </is>
      </c>
      <c r="C3" s="6" t="inlineStr">
        <is>
          <t>Date</t>
        </is>
      </c>
      <c r="D3" s="6" t="inlineStr">
        <is>
          <t>Segment</t>
        </is>
      </c>
      <c r="E3" s="6" t="inlineStr">
        <is>
          <t>Current_Solution</t>
        </is>
      </c>
      <c r="F3" s="6" t="inlineStr">
        <is>
          <t>Last_Transaction</t>
        </is>
      </c>
      <c r="G3" s="6" t="inlineStr">
        <is>
          <t>Observed_Cost</t>
        </is>
      </c>
      <c r="H3" s="6" t="inlineStr">
        <is>
          <t>Top_Pain</t>
        </is>
      </c>
      <c r="I3" s="6" t="inlineStr">
        <is>
          <t>Pain_Intensity</t>
        </is>
      </c>
      <c r="J3" s="6" t="inlineStr">
        <is>
          <t>Surprise</t>
        </is>
      </c>
      <c r="K3" s="6" t="inlineStr">
        <is>
          <t>Must_Have</t>
        </is>
      </c>
      <c r="L3" s="6" t="inlineStr">
        <is>
          <t>Test_Commitment</t>
        </is>
      </c>
      <c r="M3" s="6" t="inlineStr">
        <is>
          <t>Quote_Approved</t>
        </is>
      </c>
      <c r="N3" s="6" t="inlineStr">
        <is>
          <t>Analyst_Summary</t>
        </is>
      </c>
    </row>
  </sheetData>
  <autoFilter ref="A1:N3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28" customWidth="1" min="8" max="8"/>
    <col width="12" customWidth="1" min="9" max="9"/>
    <col width="35" customWidth="1" min="10" max="10"/>
  </cols>
  <sheetData>
    <row r="1" ht="30" customHeight="1">
      <c r="A1" s="1" t="inlineStr">
        <is>
          <t>PayRus RICE Prioritisation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6" t="inlineStr">
        <is>
          <t>Feature</t>
        </is>
      </c>
      <c r="B3" s="6" t="inlineStr">
        <is>
          <t>Reach</t>
        </is>
      </c>
      <c r="C3" s="6" t="inlineStr">
        <is>
          <t>Impact</t>
        </is>
      </c>
      <c r="D3" s="6" t="inlineStr">
        <is>
          <t>Confidence</t>
        </is>
      </c>
      <c r="E3" s="6" t="inlineStr">
        <is>
          <t>Effort</t>
        </is>
      </c>
      <c r="F3" s="6" t="inlineStr">
        <is>
          <t>RICE</t>
        </is>
      </c>
      <c r="G3" s="6" t="inlineStr">
        <is>
          <t>Evidence_Count</t>
        </is>
      </c>
      <c r="H3" s="6" t="inlineStr">
        <is>
          <t>Evidence_Source</t>
        </is>
      </c>
      <c r="I3" s="6" t="inlineStr">
        <is>
          <t>Decision</t>
        </is>
      </c>
      <c r="J3" s="6" t="inlineStr">
        <is>
          <t>Notes</t>
        </is>
      </c>
    </row>
    <row r="4">
      <c r="A4" s="2" t="inlineStr">
        <is>
          <t>Waitlist / Beta</t>
        </is>
      </c>
      <c r="B4" s="2" t="n">
        <v>100</v>
      </c>
      <c r="C4" s="2" t="n">
        <v>2</v>
      </c>
      <c r="D4" s="4" t="n">
        <v>1</v>
      </c>
      <c r="E4" s="2" t="n">
        <v>1</v>
      </c>
      <c r="F4" s="2">
        <f>IFERROR(B4*C4*D4/E4,0)</f>
        <v/>
      </c>
      <c r="G4" s="2" t="n">
        <v>0</v>
      </c>
      <c r="H4" s="2" t="inlineStr">
        <is>
          <t>Validation plan</t>
        </is>
      </c>
      <c r="I4" s="2" t="inlineStr">
        <is>
          <t>P1</t>
        </is>
      </c>
      <c r="J4" s="2" t="inlineStr"/>
    </row>
    <row r="5">
      <c r="A5" s="2" t="inlineStr">
        <is>
          <t>Fee transparency / simulator</t>
        </is>
      </c>
      <c r="B5" s="2" t="n">
        <v>100</v>
      </c>
      <c r="C5" s="2" t="n">
        <v>3</v>
      </c>
      <c r="D5" s="4" t="n">
        <v>0.9</v>
      </c>
      <c r="E5" s="2" t="n">
        <v>2</v>
      </c>
      <c r="F5" s="2">
        <f>IFERROR(B5*C5*D5/E5,0)</f>
        <v/>
      </c>
      <c r="G5" s="2" t="n">
        <v>0</v>
      </c>
      <c r="H5" s="2" t="inlineStr">
        <is>
          <t>Interviews to validate</t>
        </is>
      </c>
      <c r="I5" s="2" t="inlineStr">
        <is>
          <t>P1</t>
        </is>
      </c>
      <c r="J5" s="2" t="inlineStr"/>
    </row>
    <row r="6">
      <c r="A6" s="2" t="inlineStr">
        <is>
          <t>Unified dashboard</t>
        </is>
      </c>
      <c r="B6" s="2" t="n">
        <v>85</v>
      </c>
      <c r="C6" s="2" t="n">
        <v>2</v>
      </c>
      <c r="D6" s="4" t="n">
        <v>0.85</v>
      </c>
      <c r="E6" s="2" t="n">
        <v>3</v>
      </c>
      <c r="F6" s="2">
        <f>IFERROR(B6*C6*D6/E6,0)</f>
        <v/>
      </c>
      <c r="G6" s="2" t="n">
        <v>0</v>
      </c>
      <c r="H6" s="2" t="inlineStr">
        <is>
          <t>Interviews to validate</t>
        </is>
      </c>
      <c r="I6" s="2" t="inlineStr">
        <is>
          <t>P1</t>
        </is>
      </c>
      <c r="J6" s="2" t="inlineStr"/>
    </row>
    <row r="7">
      <c r="A7" s="2" t="inlineStr">
        <is>
          <t>Transfer tracking</t>
        </is>
      </c>
      <c r="B7" s="2" t="n">
        <v>60</v>
      </c>
      <c r="C7" s="2" t="n">
        <v>2</v>
      </c>
      <c r="D7" s="4" t="n">
        <v>0.8</v>
      </c>
      <c r="E7" s="2" t="n">
        <v>3</v>
      </c>
      <c r="F7" s="2">
        <f>IFERROR(B7*C7*D7/E7,0)</f>
        <v/>
      </c>
      <c r="G7" s="2" t="n">
        <v>0</v>
      </c>
      <c r="H7" s="2" t="inlineStr">
        <is>
          <t>Interviews to validate</t>
        </is>
      </c>
      <c r="I7" s="2" t="inlineStr">
        <is>
          <t>P2</t>
        </is>
      </c>
      <c r="J7" s="2" t="inlineStr"/>
    </row>
    <row r="8">
      <c r="A8" s="2" t="inlineStr">
        <is>
          <t>Mobile Money</t>
        </is>
      </c>
      <c r="B8" s="2" t="n">
        <v>80</v>
      </c>
      <c r="C8" s="2" t="n">
        <v>3</v>
      </c>
      <c r="D8" s="4" t="n">
        <v>0.7</v>
      </c>
      <c r="E8" s="2" t="n">
        <v>8</v>
      </c>
      <c r="F8" s="2">
        <f>IFERROR(B8*C8*D8/E8,0)</f>
        <v/>
      </c>
      <c r="G8" s="2" t="n">
        <v>0</v>
      </c>
      <c r="H8" s="2" t="inlineStr">
        <is>
          <t>Strategic hypothesis</t>
        </is>
      </c>
      <c r="I8" s="2" t="inlineStr">
        <is>
          <t>P2</t>
        </is>
      </c>
      <c r="J8" s="2" t="inlineStr"/>
    </row>
    <row r="9">
      <c r="A9" s="2" t="inlineStr">
        <is>
          <t>Cashback</t>
        </is>
      </c>
      <c r="B9" s="2" t="n">
        <v>30</v>
      </c>
      <c r="C9" s="2" t="n">
        <v>1</v>
      </c>
      <c r="D9" s="4" t="n">
        <v>0.4</v>
      </c>
      <c r="E9" s="2" t="n">
        <v>4</v>
      </c>
      <c r="F9" s="2">
        <f>IFERROR(B9*C9*D9/E9,0)</f>
        <v/>
      </c>
      <c r="G9" s="2" t="n">
        <v>0</v>
      </c>
      <c r="H9" s="2" t="inlineStr">
        <is>
          <t>Low evidence</t>
        </is>
      </c>
      <c r="I9" s="2" t="inlineStr">
        <is>
          <t>P3</t>
        </is>
      </c>
      <c r="J9" s="2" t="inlineStr"/>
    </row>
    <row r="10">
      <c r="A10" s="2" t="n"/>
      <c r="B10" s="2" t="n"/>
      <c r="C10" s="2" t="n"/>
      <c r="D10" s="4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4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4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4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4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4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4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4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4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4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4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4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4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4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4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4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4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4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4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4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4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4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4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4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4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4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4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4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4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4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4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4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4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4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4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4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4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4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4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4" t="n"/>
      <c r="E49" s="2" t="n"/>
      <c r="F49" s="2" t="n"/>
      <c r="G49" s="2" t="n"/>
      <c r="H49" s="2" t="n"/>
      <c r="I49" s="2" t="n"/>
      <c r="J49" s="2" t="n"/>
    </row>
  </sheetData>
  <autoFilter ref="A1:J49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22" customWidth="1" min="5" max="5"/>
    <col width="55" customWidth="1" min="6" max="6"/>
    <col width="20" customWidth="1" min="7" max="7"/>
    <col width="28" customWidth="1" min="8" max="8"/>
    <col width="16" customWidth="1" min="9" max="9"/>
    <col width="14" customWidth="1" min="10" max="10"/>
    <col width="20" customWidth="1" min="11" max="11"/>
    <col width="18" customWidth="1" min="12" max="12"/>
  </cols>
  <sheetData>
    <row r="1" ht="30" customHeight="1">
      <c r="A1" s="1" t="inlineStr">
        <is>
          <t>90-Day Editorial Calendar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6" t="inlineStr">
        <is>
          <t>Week</t>
        </is>
      </c>
      <c r="B3" s="6" t="inlineStr">
        <is>
          <t>Date</t>
        </is>
      </c>
      <c r="C3" s="6" t="inlineStr">
        <is>
          <t>Channel</t>
        </is>
      </c>
      <c r="D3" s="6" t="inlineStr">
        <is>
          <t>Pillar</t>
        </is>
      </c>
      <c r="E3" s="6" t="inlineStr">
        <is>
          <t>Audience</t>
        </is>
      </c>
      <c r="F3" s="6" t="inlineStr">
        <is>
          <t>Topic / Hook</t>
        </is>
      </c>
      <c r="G3" s="6" t="inlineStr">
        <is>
          <t>Format</t>
        </is>
      </c>
      <c r="H3" s="6" t="inlineStr">
        <is>
          <t>CTA</t>
        </is>
      </c>
      <c r="I3" s="6" t="inlineStr">
        <is>
          <t>Owner</t>
        </is>
      </c>
      <c r="J3" s="6" t="inlineStr">
        <is>
          <t>Status</t>
        </is>
      </c>
      <c r="K3" s="6" t="inlineStr">
        <is>
          <t>Primary_Metric</t>
        </is>
      </c>
      <c r="L3" s="6" t="inlineStr">
        <is>
          <t>Result</t>
        </is>
      </c>
    </row>
    <row r="4">
      <c r="A4" s="2" t="n">
        <v>1</v>
      </c>
      <c r="B4" s="7" t="n">
        <v>46274</v>
      </c>
      <c r="C4" s="2" t="inlineStr">
        <is>
          <t>LinkedIn</t>
        </is>
      </c>
      <c r="D4" s="2" t="inlineStr">
        <is>
          <t>Education</t>
        </is>
      </c>
      <c r="E4" s="2" t="inlineStr">
        <is>
          <t>Diaspora</t>
        </is>
      </c>
      <c r="F4" s="2" t="inlineStr">
        <is>
          <t>Que voulez-vous savoir avant d'appuyer sur « envoyer » ?</t>
        </is>
      </c>
      <c r="G4" s="2" t="inlineStr">
        <is>
          <t>Post / short video</t>
        </is>
      </c>
      <c r="H4" s="2" t="inlineStr">
        <is>
          <t>Join Beta</t>
        </is>
      </c>
      <c r="I4" s="2" t="inlineStr">
        <is>
          <t>Growth</t>
        </is>
      </c>
      <c r="J4" s="2" t="inlineStr">
        <is>
          <t>Planned</t>
        </is>
      </c>
      <c r="K4" s="2" t="inlineStr">
        <is>
          <t>Sign-ups</t>
        </is>
      </c>
      <c r="L4" s="2" t="n"/>
    </row>
    <row r="5">
      <c r="A5" s="2" t="n">
        <v>1</v>
      </c>
      <c r="B5" s="7" t="n">
        <v>46276</v>
      </c>
      <c r="C5" s="2" t="inlineStr">
        <is>
          <t>Instagram/Facebook</t>
        </is>
      </c>
      <c r="D5" s="2" t="inlineStr">
        <is>
          <t>User Voice</t>
        </is>
      </c>
      <c r="E5" s="2" t="inlineStr">
        <is>
          <t>Diaspora</t>
        </is>
      </c>
      <c r="F5" s="2" t="inlineStr">
        <is>
          <t>Appel à 20 utilisateurs : racontez votre dernière expérience de transfert.</t>
        </is>
      </c>
      <c r="G5" s="2" t="inlineStr">
        <is>
          <t>Reel / carousel</t>
        </is>
      </c>
      <c r="H5" s="2" t="inlineStr">
        <is>
          <t>Tell us your payment experience</t>
        </is>
      </c>
      <c r="I5" s="2" t="inlineStr">
        <is>
          <t>Growth</t>
        </is>
      </c>
      <c r="J5" s="2" t="inlineStr">
        <is>
          <t>Planned</t>
        </is>
      </c>
      <c r="K5" s="2" t="inlineStr">
        <is>
          <t>Qualified replies</t>
        </is>
      </c>
      <c r="L5" s="2" t="n"/>
    </row>
    <row r="6">
      <c r="A6" s="2" t="n">
        <v>1</v>
      </c>
      <c r="B6" s="7" t="n">
        <v>46278</v>
      </c>
      <c r="C6" s="2" t="inlineStr">
        <is>
          <t>LinkedIn</t>
        </is>
      </c>
      <c r="D6" s="2" t="inlineStr">
        <is>
          <t>Build in Public</t>
        </is>
      </c>
      <c r="E6" s="2" t="inlineStr">
        <is>
          <t>Merchants / partners</t>
        </is>
      </c>
      <c r="F6" s="2" t="inlineStr">
        <is>
          <t>Ce que nous apprenons en construisant PayRus avec les utilisateurs.</t>
        </is>
      </c>
      <c r="G6" s="2" t="inlineStr">
        <is>
          <t>Post / short video</t>
        </is>
      </c>
      <c r="H6" s="2" t="inlineStr">
        <is>
          <t>Apply for Merchant Pilot</t>
        </is>
      </c>
      <c r="I6" s="2" t="inlineStr">
        <is>
          <t>Growth</t>
        </is>
      </c>
      <c r="J6" s="2" t="inlineStr">
        <is>
          <t>Planned</t>
        </is>
      </c>
      <c r="K6" s="2" t="inlineStr">
        <is>
          <t>Merchant leads</t>
        </is>
      </c>
      <c r="L6" s="2" t="n"/>
    </row>
    <row r="7">
      <c r="A7" s="2" t="n">
        <v>2</v>
      </c>
      <c r="B7" s="7" t="n">
        <v>46281</v>
      </c>
      <c r="C7" s="2" t="inlineStr">
        <is>
          <t>LinkedIn</t>
        </is>
      </c>
      <c r="D7" s="2" t="inlineStr">
        <is>
          <t>User Voice</t>
        </is>
      </c>
      <c r="E7" s="2" t="inlineStr">
        <is>
          <t>Diaspora</t>
        </is>
      </c>
      <c r="F7" s="2" t="inlineStr">
        <is>
          <t>Appel à 20 utilisateurs : racontez votre dernière expérience de transfert.</t>
        </is>
      </c>
      <c r="G7" s="2" t="inlineStr">
        <is>
          <t>Post / short video</t>
        </is>
      </c>
      <c r="H7" s="2" t="inlineStr">
        <is>
          <t>Join Beta</t>
        </is>
      </c>
      <c r="I7" s="2" t="inlineStr">
        <is>
          <t>Growth</t>
        </is>
      </c>
      <c r="J7" s="2" t="inlineStr">
        <is>
          <t>Planned</t>
        </is>
      </c>
      <c r="K7" s="2" t="inlineStr">
        <is>
          <t>Sign-ups</t>
        </is>
      </c>
      <c r="L7" s="2" t="n"/>
    </row>
    <row r="8">
      <c r="A8" s="2" t="n">
        <v>2</v>
      </c>
      <c r="B8" s="7" t="n">
        <v>46283</v>
      </c>
      <c r="C8" s="2" t="inlineStr">
        <is>
          <t>Instagram/Facebook</t>
        </is>
      </c>
      <c r="D8" s="2" t="inlineStr">
        <is>
          <t>Build in Public</t>
        </is>
      </c>
      <c r="E8" s="2" t="inlineStr">
        <is>
          <t>Diaspora</t>
        </is>
      </c>
      <c r="F8" s="2" t="inlineStr">
        <is>
          <t>Ce que nous apprenons en construisant PayRus avec les utilisateurs.</t>
        </is>
      </c>
      <c r="G8" s="2" t="inlineStr">
        <is>
          <t>Reel / carousel</t>
        </is>
      </c>
      <c r="H8" s="2" t="inlineStr">
        <is>
          <t>Tell us your payment experience</t>
        </is>
      </c>
      <c r="I8" s="2" t="inlineStr">
        <is>
          <t>Growth</t>
        </is>
      </c>
      <c r="J8" s="2" t="inlineStr">
        <is>
          <t>Planned</t>
        </is>
      </c>
      <c r="K8" s="2" t="inlineStr">
        <is>
          <t>Qualified replies</t>
        </is>
      </c>
      <c r="L8" s="2" t="n"/>
    </row>
    <row r="9">
      <c r="A9" s="2" t="n">
        <v>2</v>
      </c>
      <c r="B9" s="7" t="n">
        <v>46285</v>
      </c>
      <c r="C9" s="2" t="inlineStr">
        <is>
          <t>LinkedIn</t>
        </is>
      </c>
      <c r="D9" s="2" t="inlineStr">
        <is>
          <t>Product</t>
        </is>
      </c>
      <c r="E9" s="2" t="inlineStr">
        <is>
          <t>Merchants / partners</t>
        </is>
      </c>
      <c r="F9" s="2" t="inlineStr">
        <is>
          <t>Testez le parcours bêta PayRus et dites-nous où vous bloquez.</t>
        </is>
      </c>
      <c r="G9" s="2" t="inlineStr">
        <is>
          <t>Post / short video</t>
        </is>
      </c>
      <c r="H9" s="2" t="inlineStr">
        <is>
          <t>Apply for Merchant Pilot</t>
        </is>
      </c>
      <c r="I9" s="2" t="inlineStr">
        <is>
          <t>Growth</t>
        </is>
      </c>
      <c r="J9" s="2" t="inlineStr">
        <is>
          <t>Planned</t>
        </is>
      </c>
      <c r="K9" s="2" t="inlineStr">
        <is>
          <t>Merchant leads</t>
        </is>
      </c>
      <c r="L9" s="2" t="n"/>
    </row>
    <row r="10">
      <c r="A10" s="2" t="n">
        <v>3</v>
      </c>
      <c r="B10" s="7" t="n">
        <v>46288</v>
      </c>
      <c r="C10" s="2" t="inlineStr">
        <is>
          <t>LinkedIn</t>
        </is>
      </c>
      <c r="D10" s="2" t="inlineStr">
        <is>
          <t>Build in Public</t>
        </is>
      </c>
      <c r="E10" s="2" t="inlineStr">
        <is>
          <t>Diaspora</t>
        </is>
      </c>
      <c r="F10" s="2" t="inlineStr">
        <is>
          <t>Ce que nous apprenons en construisant PayRus avec les utilisateurs.</t>
        </is>
      </c>
      <c r="G10" s="2" t="inlineStr">
        <is>
          <t>Post / short video</t>
        </is>
      </c>
      <c r="H10" s="2" t="inlineStr">
        <is>
          <t>Join Beta</t>
        </is>
      </c>
      <c r="I10" s="2" t="inlineStr">
        <is>
          <t>Growth</t>
        </is>
      </c>
      <c r="J10" s="2" t="inlineStr">
        <is>
          <t>Planned</t>
        </is>
      </c>
      <c r="K10" s="2" t="inlineStr">
        <is>
          <t>Sign-ups</t>
        </is>
      </c>
      <c r="L10" s="2" t="n"/>
    </row>
    <row r="11">
      <c r="A11" s="2" t="n">
        <v>3</v>
      </c>
      <c r="B11" s="7" t="n">
        <v>46290</v>
      </c>
      <c r="C11" s="2" t="inlineStr">
        <is>
          <t>Instagram/Facebook</t>
        </is>
      </c>
      <c r="D11" s="2" t="inlineStr">
        <is>
          <t>Product</t>
        </is>
      </c>
      <c r="E11" s="2" t="inlineStr">
        <is>
          <t>Diaspora</t>
        </is>
      </c>
      <c r="F11" s="2" t="inlineStr">
        <is>
          <t>Testez le parcours bêta PayRus et dites-nous où vous bloquez.</t>
        </is>
      </c>
      <c r="G11" s="2" t="inlineStr">
        <is>
          <t>Reel / carousel</t>
        </is>
      </c>
      <c r="H11" s="2" t="inlineStr">
        <is>
          <t>Tell us your payment experience</t>
        </is>
      </c>
      <c r="I11" s="2" t="inlineStr">
        <is>
          <t>Growth</t>
        </is>
      </c>
      <c r="J11" s="2" t="inlineStr">
        <is>
          <t>Planned</t>
        </is>
      </c>
      <c r="K11" s="2" t="inlineStr">
        <is>
          <t>Qualified replies</t>
        </is>
      </c>
      <c r="L11" s="2" t="n"/>
    </row>
    <row r="12">
      <c r="A12" s="2" t="n">
        <v>3</v>
      </c>
      <c r="B12" s="7" t="n">
        <v>46292</v>
      </c>
      <c r="C12" s="2" t="inlineStr">
        <is>
          <t>LinkedIn</t>
        </is>
      </c>
      <c r="D12" s="2" t="inlineStr">
        <is>
          <t>Trust</t>
        </is>
      </c>
      <c r="E12" s="2" t="inlineStr">
        <is>
          <t>Merchants / partners</t>
        </is>
      </c>
      <c r="F12" s="2" t="inlineStr">
        <is>
          <t>Que doit prouver une nouvelle solution de paiement pour gagner votre confiance ?</t>
        </is>
      </c>
      <c r="G12" s="2" t="inlineStr">
        <is>
          <t>Post / short video</t>
        </is>
      </c>
      <c r="H12" s="2" t="inlineStr">
        <is>
          <t>Apply for Merchant Pilot</t>
        </is>
      </c>
      <c r="I12" s="2" t="inlineStr">
        <is>
          <t>Growth</t>
        </is>
      </c>
      <c r="J12" s="2" t="inlineStr">
        <is>
          <t>Planned</t>
        </is>
      </c>
      <c r="K12" s="2" t="inlineStr">
        <is>
          <t>Merchant leads</t>
        </is>
      </c>
      <c r="L12" s="2" t="n"/>
    </row>
    <row r="13">
      <c r="A13" s="2" t="n">
        <v>4</v>
      </c>
      <c r="B13" s="7" t="n">
        <v>46295</v>
      </c>
      <c r="C13" s="2" t="inlineStr">
        <is>
          <t>LinkedIn</t>
        </is>
      </c>
      <c r="D13" s="2" t="inlineStr">
        <is>
          <t>Product</t>
        </is>
      </c>
      <c r="E13" s="2" t="inlineStr">
        <is>
          <t>Diaspora</t>
        </is>
      </c>
      <c r="F13" s="2" t="inlineStr">
        <is>
          <t>Testez le parcours bêta PayRus et dites-nous où vous bloquez.</t>
        </is>
      </c>
      <c r="G13" s="2" t="inlineStr">
        <is>
          <t>Post / short video</t>
        </is>
      </c>
      <c r="H13" s="2" t="inlineStr">
        <is>
          <t>Join Beta</t>
        </is>
      </c>
      <c r="I13" s="2" t="inlineStr">
        <is>
          <t>Growth</t>
        </is>
      </c>
      <c r="J13" s="2" t="inlineStr">
        <is>
          <t>Planned</t>
        </is>
      </c>
      <c r="K13" s="2" t="inlineStr">
        <is>
          <t>Sign-ups</t>
        </is>
      </c>
      <c r="L13" s="2" t="n"/>
    </row>
    <row r="14">
      <c r="A14" s="2" t="n">
        <v>4</v>
      </c>
      <c r="B14" s="7" t="n">
        <v>46297</v>
      </c>
      <c r="C14" s="2" t="inlineStr">
        <is>
          <t>Instagram/Facebook</t>
        </is>
      </c>
      <c r="D14" s="2" t="inlineStr">
        <is>
          <t>Trust</t>
        </is>
      </c>
      <c r="E14" s="2" t="inlineStr">
        <is>
          <t>Diaspora</t>
        </is>
      </c>
      <c r="F14" s="2" t="inlineStr">
        <is>
          <t>Que doit prouver une nouvelle solution de paiement pour gagner votre confiance ?</t>
        </is>
      </c>
      <c r="G14" s="2" t="inlineStr">
        <is>
          <t>Reel / carousel</t>
        </is>
      </c>
      <c r="H14" s="2" t="inlineStr">
        <is>
          <t>Tell us your payment experience</t>
        </is>
      </c>
      <c r="I14" s="2" t="inlineStr">
        <is>
          <t>Growth</t>
        </is>
      </c>
      <c r="J14" s="2" t="inlineStr">
        <is>
          <t>Planned</t>
        </is>
      </c>
      <c r="K14" s="2" t="inlineStr">
        <is>
          <t>Qualified replies</t>
        </is>
      </c>
      <c r="L14" s="2" t="n"/>
    </row>
    <row r="15">
      <c r="A15" s="2" t="n">
        <v>4</v>
      </c>
      <c r="B15" s="7" t="n">
        <v>46299</v>
      </c>
      <c r="C15" s="2" t="inlineStr">
        <is>
          <t>LinkedIn</t>
        </is>
      </c>
      <c r="D15" s="2" t="inlineStr">
        <is>
          <t>Pain</t>
        </is>
      </c>
      <c r="E15" s="2" t="inlineStr">
        <is>
          <t>Merchants / partners</t>
        </is>
      </c>
      <c r="F15" s="2" t="inlineStr">
        <is>
          <t>Combien d'applications utilisez-vous pour un seul paiement Europe–Afrique ?</t>
        </is>
      </c>
      <c r="G15" s="2" t="inlineStr">
        <is>
          <t>Post / short video</t>
        </is>
      </c>
      <c r="H15" s="2" t="inlineStr">
        <is>
          <t>Apply for Merchant Pilot</t>
        </is>
      </c>
      <c r="I15" s="2" t="inlineStr">
        <is>
          <t>Growth</t>
        </is>
      </c>
      <c r="J15" s="2" t="inlineStr">
        <is>
          <t>Planned</t>
        </is>
      </c>
      <c r="K15" s="2" t="inlineStr">
        <is>
          <t>Merchant leads</t>
        </is>
      </c>
      <c r="L15" s="2" t="n"/>
    </row>
    <row r="16">
      <c r="A16" s="2" t="n">
        <v>5</v>
      </c>
      <c r="B16" s="7" t="n">
        <v>46302</v>
      </c>
      <c r="C16" s="2" t="inlineStr">
        <is>
          <t>LinkedIn</t>
        </is>
      </c>
      <c r="D16" s="2" t="inlineStr">
        <is>
          <t>Trust</t>
        </is>
      </c>
      <c r="E16" s="2" t="inlineStr">
        <is>
          <t>Diaspora</t>
        </is>
      </c>
      <c r="F16" s="2" t="inlineStr">
        <is>
          <t>Que doit prouver une nouvelle solution de paiement pour gagner votre confiance ?</t>
        </is>
      </c>
      <c r="G16" s="2" t="inlineStr">
        <is>
          <t>Post / short video</t>
        </is>
      </c>
      <c r="H16" s="2" t="inlineStr">
        <is>
          <t>Join Beta</t>
        </is>
      </c>
      <c r="I16" s="2" t="inlineStr">
        <is>
          <t>Growth</t>
        </is>
      </c>
      <c r="J16" s="2" t="inlineStr">
        <is>
          <t>Planned</t>
        </is>
      </c>
      <c r="K16" s="2" t="inlineStr">
        <is>
          <t>Sign-ups</t>
        </is>
      </c>
      <c r="L16" s="2" t="n"/>
    </row>
    <row r="17">
      <c r="A17" s="2" t="n">
        <v>5</v>
      </c>
      <c r="B17" s="7" t="n">
        <v>46304</v>
      </c>
      <c r="C17" s="2" t="inlineStr">
        <is>
          <t>Instagram/Facebook</t>
        </is>
      </c>
      <c r="D17" s="2" t="inlineStr">
        <is>
          <t>Pain</t>
        </is>
      </c>
      <c r="E17" s="2" t="inlineStr">
        <is>
          <t>Diaspora</t>
        </is>
      </c>
      <c r="F17" s="2" t="inlineStr">
        <is>
          <t>Combien d'applications utilisez-vous pour un seul paiement Europe–Afrique ?</t>
        </is>
      </c>
      <c r="G17" s="2" t="inlineStr">
        <is>
          <t>Reel / carousel</t>
        </is>
      </c>
      <c r="H17" s="2" t="inlineStr">
        <is>
          <t>Tell us your payment experience</t>
        </is>
      </c>
      <c r="I17" s="2" t="inlineStr">
        <is>
          <t>Growth</t>
        </is>
      </c>
      <c r="J17" s="2" t="inlineStr">
        <is>
          <t>Planned</t>
        </is>
      </c>
      <c r="K17" s="2" t="inlineStr">
        <is>
          <t>Qualified replies</t>
        </is>
      </c>
      <c r="L17" s="2" t="n"/>
    </row>
    <row r="18">
      <c r="A18" s="2" t="n">
        <v>5</v>
      </c>
      <c r="B18" s="7" t="n">
        <v>46306</v>
      </c>
      <c r="C18" s="2" t="inlineStr">
        <is>
          <t>LinkedIn</t>
        </is>
      </c>
      <c r="D18" s="2" t="inlineStr">
        <is>
          <t>Education</t>
        </is>
      </c>
      <c r="E18" s="2" t="inlineStr">
        <is>
          <t>Merchants / partners</t>
        </is>
      </c>
      <c r="F18" s="2" t="inlineStr">
        <is>
          <t>Que voulez-vous savoir avant d'appuyer sur « envoyer » ?</t>
        </is>
      </c>
      <c r="G18" s="2" t="inlineStr">
        <is>
          <t>Post / short video</t>
        </is>
      </c>
      <c r="H18" s="2" t="inlineStr">
        <is>
          <t>Apply for Merchant Pilot</t>
        </is>
      </c>
      <c r="I18" s="2" t="inlineStr">
        <is>
          <t>Growth</t>
        </is>
      </c>
      <c r="J18" s="2" t="inlineStr">
        <is>
          <t>Planned</t>
        </is>
      </c>
      <c r="K18" s="2" t="inlineStr">
        <is>
          <t>Merchant leads</t>
        </is>
      </c>
      <c r="L18" s="2" t="n"/>
    </row>
    <row r="19">
      <c r="A19" s="2" t="n">
        <v>6</v>
      </c>
      <c r="B19" s="7" t="n">
        <v>46309</v>
      </c>
      <c r="C19" s="2" t="inlineStr">
        <is>
          <t>LinkedIn</t>
        </is>
      </c>
      <c r="D19" s="2" t="inlineStr">
        <is>
          <t>Pain</t>
        </is>
      </c>
      <c r="E19" s="2" t="inlineStr">
        <is>
          <t>Diaspora</t>
        </is>
      </c>
      <c r="F19" s="2" t="inlineStr">
        <is>
          <t>Combien d'applications utilisez-vous pour un seul paiement Europe–Afrique ?</t>
        </is>
      </c>
      <c r="G19" s="2" t="inlineStr">
        <is>
          <t>Post / short video</t>
        </is>
      </c>
      <c r="H19" s="2" t="inlineStr">
        <is>
          <t>Join Beta</t>
        </is>
      </c>
      <c r="I19" s="2" t="inlineStr">
        <is>
          <t>Growth</t>
        </is>
      </c>
      <c r="J19" s="2" t="inlineStr">
        <is>
          <t>Planned</t>
        </is>
      </c>
      <c r="K19" s="2" t="inlineStr">
        <is>
          <t>Sign-ups</t>
        </is>
      </c>
      <c r="L19" s="2" t="n"/>
    </row>
    <row r="20">
      <c r="A20" s="2" t="n">
        <v>6</v>
      </c>
      <c r="B20" s="7" t="n">
        <v>46311</v>
      </c>
      <c r="C20" s="2" t="inlineStr">
        <is>
          <t>Instagram/Facebook</t>
        </is>
      </c>
      <c r="D20" s="2" t="inlineStr">
        <is>
          <t>Education</t>
        </is>
      </c>
      <c r="E20" s="2" t="inlineStr">
        <is>
          <t>Diaspora</t>
        </is>
      </c>
      <c r="F20" s="2" t="inlineStr">
        <is>
          <t>Que voulez-vous savoir avant d'appuyer sur « envoyer » ?</t>
        </is>
      </c>
      <c r="G20" s="2" t="inlineStr">
        <is>
          <t>Reel / carousel</t>
        </is>
      </c>
      <c r="H20" s="2" t="inlineStr">
        <is>
          <t>Tell us your payment experience</t>
        </is>
      </c>
      <c r="I20" s="2" t="inlineStr">
        <is>
          <t>Growth</t>
        </is>
      </c>
      <c r="J20" s="2" t="inlineStr">
        <is>
          <t>Planned</t>
        </is>
      </c>
      <c r="K20" s="2" t="inlineStr">
        <is>
          <t>Qualified replies</t>
        </is>
      </c>
      <c r="L20" s="2" t="n"/>
    </row>
    <row r="21">
      <c r="A21" s="2" t="n">
        <v>6</v>
      </c>
      <c r="B21" s="7" t="n">
        <v>46313</v>
      </c>
      <c r="C21" s="2" t="inlineStr">
        <is>
          <t>LinkedIn</t>
        </is>
      </c>
      <c r="D21" s="2" t="inlineStr">
        <is>
          <t>User Voice</t>
        </is>
      </c>
      <c r="E21" s="2" t="inlineStr">
        <is>
          <t>Merchants / partners</t>
        </is>
      </c>
      <c r="F21" s="2" t="inlineStr">
        <is>
          <t>Appel à 20 utilisateurs : racontez votre dernière expérience de transfert.</t>
        </is>
      </c>
      <c r="G21" s="2" t="inlineStr">
        <is>
          <t>Post / short video</t>
        </is>
      </c>
      <c r="H21" s="2" t="inlineStr">
        <is>
          <t>Apply for Merchant Pilot</t>
        </is>
      </c>
      <c r="I21" s="2" t="inlineStr">
        <is>
          <t>Growth</t>
        </is>
      </c>
      <c r="J21" s="2" t="inlineStr">
        <is>
          <t>Planned</t>
        </is>
      </c>
      <c r="K21" s="2" t="inlineStr">
        <is>
          <t>Merchant leads</t>
        </is>
      </c>
      <c r="L21" s="2" t="n"/>
    </row>
    <row r="22">
      <c r="A22" s="2" t="n">
        <v>7</v>
      </c>
      <c r="B22" s="7" t="n">
        <v>46316</v>
      </c>
      <c r="C22" s="2" t="inlineStr">
        <is>
          <t>LinkedIn</t>
        </is>
      </c>
      <c r="D22" s="2" t="inlineStr">
        <is>
          <t>Education</t>
        </is>
      </c>
      <c r="E22" s="2" t="inlineStr">
        <is>
          <t>Diaspora</t>
        </is>
      </c>
      <c r="F22" s="2" t="inlineStr">
        <is>
          <t>Que voulez-vous savoir avant d'appuyer sur « envoyer » ?</t>
        </is>
      </c>
      <c r="G22" s="2" t="inlineStr">
        <is>
          <t>Post / short video</t>
        </is>
      </c>
      <c r="H22" s="2" t="inlineStr">
        <is>
          <t>Join Beta</t>
        </is>
      </c>
      <c r="I22" s="2" t="inlineStr">
        <is>
          <t>Growth</t>
        </is>
      </c>
      <c r="J22" s="2" t="inlineStr">
        <is>
          <t>Planned</t>
        </is>
      </c>
      <c r="K22" s="2" t="inlineStr">
        <is>
          <t>Sign-ups</t>
        </is>
      </c>
      <c r="L22" s="2" t="n"/>
    </row>
    <row r="23">
      <c r="A23" s="2" t="n">
        <v>7</v>
      </c>
      <c r="B23" s="7" t="n">
        <v>46318</v>
      </c>
      <c r="C23" s="2" t="inlineStr">
        <is>
          <t>Instagram/Facebook</t>
        </is>
      </c>
      <c r="D23" s="2" t="inlineStr">
        <is>
          <t>User Voice</t>
        </is>
      </c>
      <c r="E23" s="2" t="inlineStr">
        <is>
          <t>Diaspora</t>
        </is>
      </c>
      <c r="F23" s="2" t="inlineStr">
        <is>
          <t>Appel à 20 utilisateurs : racontez votre dernière expérience de transfert.</t>
        </is>
      </c>
      <c r="G23" s="2" t="inlineStr">
        <is>
          <t>Reel / carousel</t>
        </is>
      </c>
      <c r="H23" s="2" t="inlineStr">
        <is>
          <t>Tell us your payment experience</t>
        </is>
      </c>
      <c r="I23" s="2" t="inlineStr">
        <is>
          <t>Growth</t>
        </is>
      </c>
      <c r="J23" s="2" t="inlineStr">
        <is>
          <t>Planned</t>
        </is>
      </c>
      <c r="K23" s="2" t="inlineStr">
        <is>
          <t>Qualified replies</t>
        </is>
      </c>
      <c r="L23" s="2" t="n"/>
    </row>
    <row r="24">
      <c r="A24" s="2" t="n">
        <v>7</v>
      </c>
      <c r="B24" s="7" t="n">
        <v>46320</v>
      </c>
      <c r="C24" s="2" t="inlineStr">
        <is>
          <t>LinkedIn</t>
        </is>
      </c>
      <c r="D24" s="2" t="inlineStr">
        <is>
          <t>Build in Public</t>
        </is>
      </c>
      <c r="E24" s="2" t="inlineStr">
        <is>
          <t>Merchants / partners</t>
        </is>
      </c>
      <c r="F24" s="2" t="inlineStr">
        <is>
          <t>Ce que nous apprenons en construisant PayRus avec les utilisateurs.</t>
        </is>
      </c>
      <c r="G24" s="2" t="inlineStr">
        <is>
          <t>Post / short video</t>
        </is>
      </c>
      <c r="H24" s="2" t="inlineStr">
        <is>
          <t>Apply for Merchant Pilot</t>
        </is>
      </c>
      <c r="I24" s="2" t="inlineStr">
        <is>
          <t>Growth</t>
        </is>
      </c>
      <c r="J24" s="2" t="inlineStr">
        <is>
          <t>Planned</t>
        </is>
      </c>
      <c r="K24" s="2" t="inlineStr">
        <is>
          <t>Merchant leads</t>
        </is>
      </c>
      <c r="L24" s="2" t="n"/>
    </row>
    <row r="25">
      <c r="A25" s="2" t="n">
        <v>8</v>
      </c>
      <c r="B25" s="7" t="n">
        <v>46323</v>
      </c>
      <c r="C25" s="2" t="inlineStr">
        <is>
          <t>LinkedIn</t>
        </is>
      </c>
      <c r="D25" s="2" t="inlineStr">
        <is>
          <t>User Voice</t>
        </is>
      </c>
      <c r="E25" s="2" t="inlineStr">
        <is>
          <t>Diaspora</t>
        </is>
      </c>
      <c r="F25" s="2" t="inlineStr">
        <is>
          <t>Appel à 20 utilisateurs : racontez votre dernière expérience de transfert.</t>
        </is>
      </c>
      <c r="G25" s="2" t="inlineStr">
        <is>
          <t>Post / short video</t>
        </is>
      </c>
      <c r="H25" s="2" t="inlineStr">
        <is>
          <t>Join Beta</t>
        </is>
      </c>
      <c r="I25" s="2" t="inlineStr">
        <is>
          <t>Growth</t>
        </is>
      </c>
      <c r="J25" s="2" t="inlineStr">
        <is>
          <t>Planned</t>
        </is>
      </c>
      <c r="K25" s="2" t="inlineStr">
        <is>
          <t>Sign-ups</t>
        </is>
      </c>
      <c r="L25" s="2" t="n"/>
    </row>
    <row r="26">
      <c r="A26" s="2" t="n">
        <v>8</v>
      </c>
      <c r="B26" s="7" t="n">
        <v>46325</v>
      </c>
      <c r="C26" s="2" t="inlineStr">
        <is>
          <t>Instagram/Facebook</t>
        </is>
      </c>
      <c r="D26" s="2" t="inlineStr">
        <is>
          <t>Build in Public</t>
        </is>
      </c>
      <c r="E26" s="2" t="inlineStr">
        <is>
          <t>Diaspora</t>
        </is>
      </c>
      <c r="F26" s="2" t="inlineStr">
        <is>
          <t>Ce que nous apprenons en construisant PayRus avec les utilisateurs.</t>
        </is>
      </c>
      <c r="G26" s="2" t="inlineStr">
        <is>
          <t>Reel / carousel</t>
        </is>
      </c>
      <c r="H26" s="2" t="inlineStr">
        <is>
          <t>Tell us your payment experience</t>
        </is>
      </c>
      <c r="I26" s="2" t="inlineStr">
        <is>
          <t>Growth</t>
        </is>
      </c>
      <c r="J26" s="2" t="inlineStr">
        <is>
          <t>Planned</t>
        </is>
      </c>
      <c r="K26" s="2" t="inlineStr">
        <is>
          <t>Qualified replies</t>
        </is>
      </c>
      <c r="L26" s="2" t="n"/>
    </row>
    <row r="27">
      <c r="A27" s="2" t="n">
        <v>8</v>
      </c>
      <c r="B27" s="7" t="n">
        <v>46327</v>
      </c>
      <c r="C27" s="2" t="inlineStr">
        <is>
          <t>LinkedIn</t>
        </is>
      </c>
      <c r="D27" s="2" t="inlineStr">
        <is>
          <t>Product</t>
        </is>
      </c>
      <c r="E27" s="2" t="inlineStr">
        <is>
          <t>Merchants / partners</t>
        </is>
      </c>
      <c r="F27" s="2" t="inlineStr">
        <is>
          <t>Testez le parcours bêta PayRus et dites-nous où vous bloquez.</t>
        </is>
      </c>
      <c r="G27" s="2" t="inlineStr">
        <is>
          <t>Post / short video</t>
        </is>
      </c>
      <c r="H27" s="2" t="inlineStr">
        <is>
          <t>Apply for Merchant Pilot</t>
        </is>
      </c>
      <c r="I27" s="2" t="inlineStr">
        <is>
          <t>Growth</t>
        </is>
      </c>
      <c r="J27" s="2" t="inlineStr">
        <is>
          <t>Planned</t>
        </is>
      </c>
      <c r="K27" s="2" t="inlineStr">
        <is>
          <t>Merchant leads</t>
        </is>
      </c>
      <c r="L27" s="2" t="n"/>
    </row>
    <row r="28">
      <c r="A28" s="2" t="n">
        <v>9</v>
      </c>
      <c r="B28" s="7" t="n">
        <v>46330</v>
      </c>
      <c r="C28" s="2" t="inlineStr">
        <is>
          <t>LinkedIn</t>
        </is>
      </c>
      <c r="D28" s="2" t="inlineStr">
        <is>
          <t>Build in Public</t>
        </is>
      </c>
      <c r="E28" s="2" t="inlineStr">
        <is>
          <t>Diaspora</t>
        </is>
      </c>
      <c r="F28" s="2" t="inlineStr">
        <is>
          <t>Ce que nous apprenons en construisant PayRus avec les utilisateurs.</t>
        </is>
      </c>
      <c r="G28" s="2" t="inlineStr">
        <is>
          <t>Post / short video</t>
        </is>
      </c>
      <c r="H28" s="2" t="inlineStr">
        <is>
          <t>Join Beta</t>
        </is>
      </c>
      <c r="I28" s="2" t="inlineStr">
        <is>
          <t>Growth</t>
        </is>
      </c>
      <c r="J28" s="2" t="inlineStr">
        <is>
          <t>Planned</t>
        </is>
      </c>
      <c r="K28" s="2" t="inlineStr">
        <is>
          <t>Sign-ups</t>
        </is>
      </c>
      <c r="L28" s="2" t="n"/>
    </row>
    <row r="29">
      <c r="A29" s="2" t="n">
        <v>9</v>
      </c>
      <c r="B29" s="7" t="n">
        <v>46332</v>
      </c>
      <c r="C29" s="2" t="inlineStr">
        <is>
          <t>Instagram/Facebook</t>
        </is>
      </c>
      <c r="D29" s="2" t="inlineStr">
        <is>
          <t>Product</t>
        </is>
      </c>
      <c r="E29" s="2" t="inlineStr">
        <is>
          <t>Diaspora</t>
        </is>
      </c>
      <c r="F29" s="2" t="inlineStr">
        <is>
          <t>Testez le parcours bêta PayRus et dites-nous où vous bloquez.</t>
        </is>
      </c>
      <c r="G29" s="2" t="inlineStr">
        <is>
          <t>Reel / carousel</t>
        </is>
      </c>
      <c r="H29" s="2" t="inlineStr">
        <is>
          <t>Tell us your payment experience</t>
        </is>
      </c>
      <c r="I29" s="2" t="inlineStr">
        <is>
          <t>Growth</t>
        </is>
      </c>
      <c r="J29" s="2" t="inlineStr">
        <is>
          <t>Planned</t>
        </is>
      </c>
      <c r="K29" s="2" t="inlineStr">
        <is>
          <t>Qualified replies</t>
        </is>
      </c>
      <c r="L29" s="2" t="n"/>
    </row>
    <row r="30">
      <c r="A30" s="2" t="n">
        <v>9</v>
      </c>
      <c r="B30" s="7" t="n">
        <v>46334</v>
      </c>
      <c r="C30" s="2" t="inlineStr">
        <is>
          <t>LinkedIn</t>
        </is>
      </c>
      <c r="D30" s="2" t="inlineStr">
        <is>
          <t>Trust</t>
        </is>
      </c>
      <c r="E30" s="2" t="inlineStr">
        <is>
          <t>Merchants / partners</t>
        </is>
      </c>
      <c r="F30" s="2" t="inlineStr">
        <is>
          <t>Que doit prouver une nouvelle solution de paiement pour gagner votre confiance ?</t>
        </is>
      </c>
      <c r="G30" s="2" t="inlineStr">
        <is>
          <t>Post / short video</t>
        </is>
      </c>
      <c r="H30" s="2" t="inlineStr">
        <is>
          <t>Apply for Merchant Pilot</t>
        </is>
      </c>
      <c r="I30" s="2" t="inlineStr">
        <is>
          <t>Growth</t>
        </is>
      </c>
      <c r="J30" s="2" t="inlineStr">
        <is>
          <t>Planned</t>
        </is>
      </c>
      <c r="K30" s="2" t="inlineStr">
        <is>
          <t>Merchant leads</t>
        </is>
      </c>
      <c r="L30" s="2" t="n"/>
    </row>
    <row r="31">
      <c r="A31" s="2" t="n">
        <v>10</v>
      </c>
      <c r="B31" s="7" t="n">
        <v>46337</v>
      </c>
      <c r="C31" s="2" t="inlineStr">
        <is>
          <t>LinkedIn</t>
        </is>
      </c>
      <c r="D31" s="2" t="inlineStr">
        <is>
          <t>Product</t>
        </is>
      </c>
      <c r="E31" s="2" t="inlineStr">
        <is>
          <t>Diaspora</t>
        </is>
      </c>
      <c r="F31" s="2" t="inlineStr">
        <is>
          <t>Testez le parcours bêta PayRus et dites-nous où vous bloquez.</t>
        </is>
      </c>
      <c r="G31" s="2" t="inlineStr">
        <is>
          <t>Post / short video</t>
        </is>
      </c>
      <c r="H31" s="2" t="inlineStr">
        <is>
          <t>Join Beta</t>
        </is>
      </c>
      <c r="I31" s="2" t="inlineStr">
        <is>
          <t>Growth</t>
        </is>
      </c>
      <c r="J31" s="2" t="inlineStr">
        <is>
          <t>Planned</t>
        </is>
      </c>
      <c r="K31" s="2" t="inlineStr">
        <is>
          <t>Sign-ups</t>
        </is>
      </c>
      <c r="L31" s="2" t="n"/>
    </row>
    <row r="32">
      <c r="A32" s="2" t="n">
        <v>10</v>
      </c>
      <c r="B32" s="7" t="n">
        <v>46339</v>
      </c>
      <c r="C32" s="2" t="inlineStr">
        <is>
          <t>Instagram/Facebook</t>
        </is>
      </c>
      <c r="D32" s="2" t="inlineStr">
        <is>
          <t>Trust</t>
        </is>
      </c>
      <c r="E32" s="2" t="inlineStr">
        <is>
          <t>Diaspora</t>
        </is>
      </c>
      <c r="F32" s="2" t="inlineStr">
        <is>
          <t>Que doit prouver une nouvelle solution de paiement pour gagner votre confiance ?</t>
        </is>
      </c>
      <c r="G32" s="2" t="inlineStr">
        <is>
          <t>Reel / carousel</t>
        </is>
      </c>
      <c r="H32" s="2" t="inlineStr">
        <is>
          <t>Tell us your payment experience</t>
        </is>
      </c>
      <c r="I32" s="2" t="inlineStr">
        <is>
          <t>Growth</t>
        </is>
      </c>
      <c r="J32" s="2" t="inlineStr">
        <is>
          <t>Planned</t>
        </is>
      </c>
      <c r="K32" s="2" t="inlineStr">
        <is>
          <t>Qualified replies</t>
        </is>
      </c>
      <c r="L32" s="2" t="n"/>
    </row>
    <row r="33">
      <c r="A33" s="2" t="n">
        <v>10</v>
      </c>
      <c r="B33" s="7" t="n">
        <v>46341</v>
      </c>
      <c r="C33" s="2" t="inlineStr">
        <is>
          <t>LinkedIn</t>
        </is>
      </c>
      <c r="D33" s="2" t="inlineStr">
        <is>
          <t>Pain</t>
        </is>
      </c>
      <c r="E33" s="2" t="inlineStr">
        <is>
          <t>Merchants / partners</t>
        </is>
      </c>
      <c r="F33" s="2" t="inlineStr">
        <is>
          <t>Combien d'applications utilisez-vous pour un seul paiement Europe–Afrique ?</t>
        </is>
      </c>
      <c r="G33" s="2" t="inlineStr">
        <is>
          <t>Post / short video</t>
        </is>
      </c>
      <c r="H33" s="2" t="inlineStr">
        <is>
          <t>Apply for Merchant Pilot</t>
        </is>
      </c>
      <c r="I33" s="2" t="inlineStr">
        <is>
          <t>Growth</t>
        </is>
      </c>
      <c r="J33" s="2" t="inlineStr">
        <is>
          <t>Planned</t>
        </is>
      </c>
      <c r="K33" s="2" t="inlineStr">
        <is>
          <t>Merchant leads</t>
        </is>
      </c>
      <c r="L33" s="2" t="n"/>
    </row>
    <row r="34">
      <c r="A34" s="2" t="n">
        <v>11</v>
      </c>
      <c r="B34" s="7" t="n">
        <v>46344</v>
      </c>
      <c r="C34" s="2" t="inlineStr">
        <is>
          <t>LinkedIn</t>
        </is>
      </c>
      <c r="D34" s="2" t="inlineStr">
        <is>
          <t>Trust</t>
        </is>
      </c>
      <c r="E34" s="2" t="inlineStr">
        <is>
          <t>Diaspora</t>
        </is>
      </c>
      <c r="F34" s="2" t="inlineStr">
        <is>
          <t>Que doit prouver une nouvelle solution de paiement pour gagner votre confiance ?</t>
        </is>
      </c>
      <c r="G34" s="2" t="inlineStr">
        <is>
          <t>Post / short video</t>
        </is>
      </c>
      <c r="H34" s="2" t="inlineStr">
        <is>
          <t>Join Beta</t>
        </is>
      </c>
      <c r="I34" s="2" t="inlineStr">
        <is>
          <t>Growth</t>
        </is>
      </c>
      <c r="J34" s="2" t="inlineStr">
        <is>
          <t>Planned</t>
        </is>
      </c>
      <c r="K34" s="2" t="inlineStr">
        <is>
          <t>Sign-ups</t>
        </is>
      </c>
      <c r="L34" s="2" t="n"/>
    </row>
    <row r="35">
      <c r="A35" s="2" t="n">
        <v>11</v>
      </c>
      <c r="B35" s="7" t="n">
        <v>46346</v>
      </c>
      <c r="C35" s="2" t="inlineStr">
        <is>
          <t>Instagram/Facebook</t>
        </is>
      </c>
      <c r="D35" s="2" t="inlineStr">
        <is>
          <t>Pain</t>
        </is>
      </c>
      <c r="E35" s="2" t="inlineStr">
        <is>
          <t>Diaspora</t>
        </is>
      </c>
      <c r="F35" s="2" t="inlineStr">
        <is>
          <t>Combien d'applications utilisez-vous pour un seul paiement Europe–Afrique ?</t>
        </is>
      </c>
      <c r="G35" s="2" t="inlineStr">
        <is>
          <t>Reel / carousel</t>
        </is>
      </c>
      <c r="H35" s="2" t="inlineStr">
        <is>
          <t>Tell us your payment experience</t>
        </is>
      </c>
      <c r="I35" s="2" t="inlineStr">
        <is>
          <t>Growth</t>
        </is>
      </c>
      <c r="J35" s="2" t="inlineStr">
        <is>
          <t>Planned</t>
        </is>
      </c>
      <c r="K35" s="2" t="inlineStr">
        <is>
          <t>Qualified replies</t>
        </is>
      </c>
      <c r="L35" s="2" t="n"/>
    </row>
    <row r="36">
      <c r="A36" s="2" t="n">
        <v>11</v>
      </c>
      <c r="B36" s="7" t="n">
        <v>46348</v>
      </c>
      <c r="C36" s="2" t="inlineStr">
        <is>
          <t>LinkedIn</t>
        </is>
      </c>
      <c r="D36" s="2" t="inlineStr">
        <is>
          <t>Education</t>
        </is>
      </c>
      <c r="E36" s="2" t="inlineStr">
        <is>
          <t>Merchants / partners</t>
        </is>
      </c>
      <c r="F36" s="2" t="inlineStr">
        <is>
          <t>Que voulez-vous savoir avant d'appuyer sur « envoyer » ?</t>
        </is>
      </c>
      <c r="G36" s="2" t="inlineStr">
        <is>
          <t>Post / short video</t>
        </is>
      </c>
      <c r="H36" s="2" t="inlineStr">
        <is>
          <t>Apply for Merchant Pilot</t>
        </is>
      </c>
      <c r="I36" s="2" t="inlineStr">
        <is>
          <t>Growth</t>
        </is>
      </c>
      <c r="J36" s="2" t="inlineStr">
        <is>
          <t>Planned</t>
        </is>
      </c>
      <c r="K36" s="2" t="inlineStr">
        <is>
          <t>Merchant leads</t>
        </is>
      </c>
      <c r="L36" s="2" t="n"/>
    </row>
    <row r="37">
      <c r="A37" s="2" t="n">
        <v>12</v>
      </c>
      <c r="B37" s="7" t="n">
        <v>46351</v>
      </c>
      <c r="C37" s="2" t="inlineStr">
        <is>
          <t>LinkedIn</t>
        </is>
      </c>
      <c r="D37" s="2" t="inlineStr">
        <is>
          <t>Pain</t>
        </is>
      </c>
      <c r="E37" s="2" t="inlineStr">
        <is>
          <t>Diaspora</t>
        </is>
      </c>
      <c r="F37" s="2" t="inlineStr">
        <is>
          <t>Combien d'applications utilisez-vous pour un seul paiement Europe–Afrique ?</t>
        </is>
      </c>
      <c r="G37" s="2" t="inlineStr">
        <is>
          <t>Post / short video</t>
        </is>
      </c>
      <c r="H37" s="2" t="inlineStr">
        <is>
          <t>Join Beta</t>
        </is>
      </c>
      <c r="I37" s="2" t="inlineStr">
        <is>
          <t>Growth</t>
        </is>
      </c>
      <c r="J37" s="2" t="inlineStr">
        <is>
          <t>Planned</t>
        </is>
      </c>
      <c r="K37" s="2" t="inlineStr">
        <is>
          <t>Sign-ups</t>
        </is>
      </c>
      <c r="L37" s="2" t="n"/>
    </row>
    <row r="38">
      <c r="A38" s="2" t="n">
        <v>12</v>
      </c>
      <c r="B38" s="7" t="n">
        <v>46353</v>
      </c>
      <c r="C38" s="2" t="inlineStr">
        <is>
          <t>Instagram/Facebook</t>
        </is>
      </c>
      <c r="D38" s="2" t="inlineStr">
        <is>
          <t>Education</t>
        </is>
      </c>
      <c r="E38" s="2" t="inlineStr">
        <is>
          <t>Diaspora</t>
        </is>
      </c>
      <c r="F38" s="2" t="inlineStr">
        <is>
          <t>Que voulez-vous savoir avant d'appuyer sur « envoyer » ?</t>
        </is>
      </c>
      <c r="G38" s="2" t="inlineStr">
        <is>
          <t>Reel / carousel</t>
        </is>
      </c>
      <c r="H38" s="2" t="inlineStr">
        <is>
          <t>Tell us your payment experience</t>
        </is>
      </c>
      <c r="I38" s="2" t="inlineStr">
        <is>
          <t>Growth</t>
        </is>
      </c>
      <c r="J38" s="2" t="inlineStr">
        <is>
          <t>Planned</t>
        </is>
      </c>
      <c r="K38" s="2" t="inlineStr">
        <is>
          <t>Qualified replies</t>
        </is>
      </c>
      <c r="L38" s="2" t="n"/>
    </row>
    <row r="39">
      <c r="A39" s="2" t="n">
        <v>12</v>
      </c>
      <c r="B39" s="7" t="n">
        <v>46355</v>
      </c>
      <c r="C39" s="2" t="inlineStr">
        <is>
          <t>LinkedIn</t>
        </is>
      </c>
      <c r="D39" s="2" t="inlineStr">
        <is>
          <t>User Voice</t>
        </is>
      </c>
      <c r="E39" s="2" t="inlineStr">
        <is>
          <t>Merchants / partners</t>
        </is>
      </c>
      <c r="F39" s="2" t="inlineStr">
        <is>
          <t>Appel à 20 utilisateurs : racontez votre dernière expérience de transfert.</t>
        </is>
      </c>
      <c r="G39" s="2" t="inlineStr">
        <is>
          <t>Post / short video</t>
        </is>
      </c>
      <c r="H39" s="2" t="inlineStr">
        <is>
          <t>Apply for Merchant Pilot</t>
        </is>
      </c>
      <c r="I39" s="2" t="inlineStr">
        <is>
          <t>Growth</t>
        </is>
      </c>
      <c r="J39" s="2" t="inlineStr">
        <is>
          <t>Planned</t>
        </is>
      </c>
      <c r="K39" s="2" t="inlineStr">
        <is>
          <t>Merchant leads</t>
        </is>
      </c>
      <c r="L39" s="2" t="n"/>
    </row>
    <row r="40">
      <c r="A40" s="2" t="n">
        <v>13</v>
      </c>
      <c r="B40" s="7" t="n">
        <v>46358</v>
      </c>
      <c r="C40" s="2" t="inlineStr">
        <is>
          <t>LinkedIn</t>
        </is>
      </c>
      <c r="D40" s="2" t="inlineStr">
        <is>
          <t>Education</t>
        </is>
      </c>
      <c r="E40" s="2" t="inlineStr">
        <is>
          <t>Diaspora</t>
        </is>
      </c>
      <c r="F40" s="2" t="inlineStr">
        <is>
          <t>Que voulez-vous savoir avant d'appuyer sur « envoyer » ?</t>
        </is>
      </c>
      <c r="G40" s="2" t="inlineStr">
        <is>
          <t>Post / short video</t>
        </is>
      </c>
      <c r="H40" s="2" t="inlineStr">
        <is>
          <t>Join Beta</t>
        </is>
      </c>
      <c r="I40" s="2" t="inlineStr">
        <is>
          <t>Growth</t>
        </is>
      </c>
      <c r="J40" s="2" t="inlineStr">
        <is>
          <t>Planned</t>
        </is>
      </c>
      <c r="K40" s="2" t="inlineStr">
        <is>
          <t>Sign-ups</t>
        </is>
      </c>
      <c r="L40" s="2" t="n"/>
    </row>
    <row r="41">
      <c r="A41" s="2" t="n">
        <v>13</v>
      </c>
      <c r="B41" s="7" t="n">
        <v>46360</v>
      </c>
      <c r="C41" s="2" t="inlineStr">
        <is>
          <t>Instagram/Facebook</t>
        </is>
      </c>
      <c r="D41" s="2" t="inlineStr">
        <is>
          <t>User Voice</t>
        </is>
      </c>
      <c r="E41" s="2" t="inlineStr">
        <is>
          <t>Diaspora</t>
        </is>
      </c>
      <c r="F41" s="2" t="inlineStr">
        <is>
          <t>Appel à 20 utilisateurs : racontez votre dernière expérience de transfert.</t>
        </is>
      </c>
      <c r="G41" s="2" t="inlineStr">
        <is>
          <t>Reel / carousel</t>
        </is>
      </c>
      <c r="H41" s="2" t="inlineStr">
        <is>
          <t>Tell us your payment experience</t>
        </is>
      </c>
      <c r="I41" s="2" t="inlineStr">
        <is>
          <t>Growth</t>
        </is>
      </c>
      <c r="J41" s="2" t="inlineStr">
        <is>
          <t>Planned</t>
        </is>
      </c>
      <c r="K41" s="2" t="inlineStr">
        <is>
          <t>Qualified replies</t>
        </is>
      </c>
      <c r="L41" s="2" t="n"/>
    </row>
    <row r="42">
      <c r="A42" s="2" t="n">
        <v>13</v>
      </c>
      <c r="B42" s="7" t="n">
        <v>46362</v>
      </c>
      <c r="C42" s="2" t="inlineStr">
        <is>
          <t>LinkedIn</t>
        </is>
      </c>
      <c r="D42" s="2" t="inlineStr">
        <is>
          <t>Build in Public</t>
        </is>
      </c>
      <c r="E42" s="2" t="inlineStr">
        <is>
          <t>Merchants / partners</t>
        </is>
      </c>
      <c r="F42" s="2" t="inlineStr">
        <is>
          <t>Ce que nous apprenons en construisant PayRus avec les utilisateurs.</t>
        </is>
      </c>
      <c r="G42" s="2" t="inlineStr">
        <is>
          <t>Post / short video</t>
        </is>
      </c>
      <c r="H42" s="2" t="inlineStr">
        <is>
          <t>Apply for Merchant Pilot</t>
        </is>
      </c>
      <c r="I42" s="2" t="inlineStr">
        <is>
          <t>Growth</t>
        </is>
      </c>
      <c r="J42" s="2" t="inlineStr">
        <is>
          <t>Planned</t>
        </is>
      </c>
      <c r="K42" s="2" t="inlineStr">
        <is>
          <t>Merchant leads</t>
        </is>
      </c>
      <c r="L42" s="2" t="n"/>
    </row>
  </sheetData>
  <autoFilter ref="A1:L42"/>
  <mergeCells count="1">
    <mergeCell ref="A1:L1"/>
  </mergeCells>
  <dataValidations count="1">
    <dataValidation sqref="J4:J100" showDropDown="0" showInputMessage="0" showErrorMessage="0" allowBlank="0" type="list">
      <formula1>"Planned,Drafted,Published,Measured,Stopped"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22" customWidth="1" min="4" max="4"/>
    <col width="16" customWidth="1" min="5" max="5"/>
    <col width="18" customWidth="1" min="6" max="6"/>
    <col width="18" customWidth="1" min="7" max="7"/>
    <col width="14" customWidth="1" min="8" max="8"/>
    <col width="28" customWidth="1" min="9" max="9"/>
    <col width="14" customWidth="1" min="10" max="10"/>
    <col width="18" customWidth="1" min="11" max="11"/>
    <col width="12" customWidth="1" min="12" max="12"/>
    <col width="28" customWidth="1" min="13" max="13"/>
    <col width="16" customWidth="1" min="14" max="14"/>
  </cols>
  <sheetData>
    <row r="1" ht="30" customHeight="1">
      <c r="A1" s="1" t="inlineStr">
        <is>
          <t>Merchant Pilot Pipeline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Merchant_ID</t>
        </is>
      </c>
      <c r="B3" s="6" t="inlineStr">
        <is>
          <t>Date</t>
        </is>
      </c>
      <c r="C3" s="6" t="inlineStr">
        <is>
          <t>Company</t>
        </is>
      </c>
      <c r="D3" s="6" t="inlineStr">
        <is>
          <t>Contact</t>
        </is>
      </c>
      <c r="E3" s="6" t="inlineStr">
        <is>
          <t>Country</t>
        </is>
      </c>
      <c r="F3" s="6" t="inlineStr">
        <is>
          <t>Sector</t>
        </is>
      </c>
      <c r="G3" s="6" t="inlineStr">
        <is>
          <t>Monthly_Payments</t>
        </is>
      </c>
      <c r="H3" s="6" t="inlineStr">
        <is>
          <t>International</t>
        </is>
      </c>
      <c r="I3" s="6" t="inlineStr">
        <is>
          <t>Pain</t>
        </is>
      </c>
      <c r="J3" s="6" t="inlineStr">
        <is>
          <t>Stage</t>
        </is>
      </c>
      <c r="K3" s="6" t="inlineStr">
        <is>
          <t>Pilot_Volume</t>
        </is>
      </c>
      <c r="L3" s="6" t="inlineStr">
        <is>
          <t>LOI</t>
        </is>
      </c>
      <c r="M3" s="6" t="inlineStr">
        <is>
          <t>Next_Action</t>
        </is>
      </c>
      <c r="N3" s="6" t="inlineStr">
        <is>
          <t>Owner</t>
        </is>
      </c>
    </row>
  </sheetData>
  <autoFilter ref="A1:N3"/>
  <mergeCells count="1">
    <mergeCell ref="A1:N1"/>
  </mergeCells>
  <dataValidations count="1">
    <dataValidation sqref="J4:J300" showDropDown="0" showInputMessage="0" showErrorMessage="0" allowBlank="0" type="list">
      <formula1>"Lead,Qualified,Demo,Pilot,LOI,Customer,Closed"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24" customWidth="1" min="4" max="4"/>
    <col width="16" customWidth="1" min="5" max="5"/>
  </cols>
  <sheetData>
    <row r="1" ht="30" customHeight="1">
      <c r="A1" s="1" t="inlineStr">
        <is>
          <t>Monthly Traction Report — Elise / hub.brussels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Reporting Month</t>
        </is>
      </c>
      <c r="B3" s="2" t="inlineStr">
        <is>
          <t>September 2026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8" t="inlineStr">
        <is>
          <t>Executive snapshot</t>
        </is>
      </c>
      <c r="B5" s="2" t="n"/>
      <c r="C5" s="2" t="n"/>
      <c r="D5" s="3" t="inlineStr">
        <is>
          <t>Auto KPI</t>
        </is>
      </c>
      <c r="E5" s="3" t="inlineStr">
        <is>
          <t>Value</t>
        </is>
      </c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9" t="inlineStr">
        <is>
          <t>Market validation</t>
        </is>
      </c>
      <c r="B7" s="2" t="inlineStr">
        <is>
          <t>[Complete monthly]</t>
        </is>
      </c>
      <c r="C7" s="2" t="n"/>
      <c r="D7" s="2" t="inlineStr">
        <is>
          <t>Waitlist</t>
        </is>
      </c>
      <c r="E7" s="2">
        <f>Dashboard!B4</f>
        <v/>
      </c>
      <c r="F7" s="2" t="n"/>
      <c r="G7" s="2" t="n"/>
      <c r="H7" s="2" t="n"/>
    </row>
    <row r="8">
      <c r="A8" s="9" t="inlineStr">
        <is>
          <t>Customer pain</t>
        </is>
      </c>
      <c r="B8" s="2" t="inlineStr">
        <is>
          <t>[Complete monthly]</t>
        </is>
      </c>
      <c r="C8" s="2" t="n"/>
      <c r="D8" s="2" t="inlineStr">
        <is>
          <t>Interviews</t>
        </is>
      </c>
      <c r="E8" s="2">
        <f>Dashboard!B5</f>
        <v/>
      </c>
      <c r="F8" s="2" t="n"/>
      <c r="G8" s="2" t="n"/>
      <c r="H8" s="2" t="n"/>
    </row>
    <row r="9">
      <c r="A9" s="9" t="inlineStr">
        <is>
          <t>Demand</t>
        </is>
      </c>
      <c r="B9" s="2" t="inlineStr">
        <is>
          <t>[Complete monthly]</t>
        </is>
      </c>
      <c r="C9" s="2" t="n"/>
      <c r="D9" s="2" t="inlineStr">
        <is>
          <t>Beta qualified</t>
        </is>
      </c>
      <c r="E9" s="2">
        <f>Dashboard!B6</f>
        <v/>
      </c>
      <c r="F9" s="2" t="n"/>
      <c r="G9" s="2" t="n"/>
      <c r="H9" s="2" t="n"/>
    </row>
    <row r="10">
      <c r="A10" s="9" t="inlineStr">
        <is>
          <t>Beta</t>
        </is>
      </c>
      <c r="B10" s="2" t="inlineStr">
        <is>
          <t>[Complete monthly]</t>
        </is>
      </c>
      <c r="C10" s="2" t="n"/>
      <c r="D10" s="2" t="inlineStr">
        <is>
          <t>Beta active</t>
        </is>
      </c>
      <c r="E10" s="2">
        <f>Dashboard!B7</f>
        <v/>
      </c>
      <c r="F10" s="2" t="n"/>
      <c r="G10" s="2" t="n"/>
      <c r="H10" s="2" t="n"/>
    </row>
    <row r="11">
      <c r="A11" s="9" t="inlineStr">
        <is>
          <t>Commercial</t>
        </is>
      </c>
      <c r="B11" s="2" t="inlineStr">
        <is>
          <t>[Complete monthly]</t>
        </is>
      </c>
      <c r="C11" s="2" t="n"/>
      <c r="D11" s="2" t="inlineStr">
        <is>
          <t>Merchant pilots</t>
        </is>
      </c>
      <c r="E11" s="2">
        <f>Dashboard!B8</f>
        <v/>
      </c>
      <c r="F11" s="2" t="n"/>
      <c r="G11" s="2" t="n"/>
      <c r="H11" s="2" t="n"/>
    </row>
    <row r="12">
      <c r="A12" s="9" t="inlineStr">
        <is>
          <t>Product learning</t>
        </is>
      </c>
      <c r="B12" s="2" t="inlineStr">
        <is>
          <t>[Complete monthly]</t>
        </is>
      </c>
      <c r="C12" s="2" t="n"/>
      <c r="D12" s="2" t="inlineStr">
        <is>
          <t>LOI / commitments</t>
        </is>
      </c>
      <c r="E12" s="2">
        <f>Dashboard!B9</f>
        <v/>
      </c>
      <c r="F12" s="2" t="n"/>
      <c r="G12" s="2" t="n"/>
      <c r="H12" s="2" t="n"/>
    </row>
    <row r="13">
      <c r="A13" s="9" t="inlineStr">
        <is>
          <t>Voice of customer</t>
        </is>
      </c>
      <c r="B13" s="2" t="inlineStr">
        <is>
          <t>[Complete monthly]</t>
        </is>
      </c>
      <c r="C13" s="2" t="n"/>
      <c r="D13" s="2" t="n"/>
      <c r="E13" s="2" t="n"/>
      <c r="F13" s="2" t="n"/>
      <c r="G13" s="2" t="n"/>
      <c r="H13" s="2" t="n"/>
    </row>
    <row r="14">
      <c r="A14" s="9" t="inlineStr">
        <is>
          <t>Experiments</t>
        </is>
      </c>
      <c r="B14" s="2" t="inlineStr">
        <is>
          <t>[Complete monthly]</t>
        </is>
      </c>
      <c r="C14" s="2" t="n"/>
      <c r="D14" s="2" t="n"/>
      <c r="E14" s="2" t="n"/>
      <c r="F14" s="2" t="n"/>
      <c r="G14" s="2" t="n"/>
      <c r="H14" s="2" t="n"/>
    </row>
    <row r="15">
      <c r="A15" s="9" t="inlineStr">
        <is>
          <t>Risks &amp; compliance</t>
        </is>
      </c>
      <c r="B15" s="2" t="inlineStr">
        <is>
          <t>[Complete monthly]</t>
        </is>
      </c>
      <c r="C15" s="2" t="n"/>
      <c r="D15" s="2" t="n"/>
      <c r="E15" s="2" t="n"/>
      <c r="F15" s="2" t="n"/>
      <c r="G15" s="2" t="n"/>
      <c r="H15" s="2" t="n"/>
    </row>
    <row r="16">
      <c r="A16" s="9" t="inlineStr">
        <is>
          <t>Next 30 days</t>
        </is>
      </c>
      <c r="B16" s="2" t="inlineStr">
        <is>
          <t>[Complete monthly]</t>
        </is>
      </c>
      <c r="C16" s="2" t="n"/>
      <c r="D16" s="2" t="n"/>
      <c r="E16" s="2" t="n"/>
      <c r="F16" s="2" t="n"/>
      <c r="G16" s="2" t="n"/>
      <c r="H16" s="2" t="n"/>
    </row>
  </sheetData>
  <autoFilter ref="A1:H16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35" customWidth="1" min="4" max="4"/>
    <col width="22" customWidth="1" min="5" max="5"/>
  </cols>
  <sheetData>
    <row r="1" ht="30" customHeight="1">
      <c r="A1" s="1" t="inlineStr">
        <is>
          <t>Reference Lists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6" t="inlineStr">
        <is>
          <t>Type</t>
        </is>
      </c>
      <c r="B3" s="6" t="inlineStr">
        <is>
          <t>Value</t>
        </is>
      </c>
      <c r="C3" s="6" t="inlineStr">
        <is>
          <t>Score</t>
        </is>
      </c>
      <c r="D3" s="6" t="inlineStr">
        <is>
          <t>Definition</t>
        </is>
      </c>
      <c r="E3" s="6" t="inlineStr">
        <is>
          <t>Use</t>
        </is>
      </c>
    </row>
    <row r="4">
      <c r="A4" s="2" t="inlineStr">
        <is>
          <t>Frequency</t>
        </is>
      </c>
      <c r="B4" s="2" t="inlineStr">
        <is>
          <t>Weekly</t>
        </is>
      </c>
      <c r="C4" s="2" t="n">
        <v>5</v>
      </c>
      <c r="D4" s="2" t="inlineStr">
        <is>
          <t>Weekly or more</t>
        </is>
      </c>
      <c r="E4" s="2" t="inlineStr">
        <is>
          <t>Prospect scoring</t>
        </is>
      </c>
    </row>
    <row r="5">
      <c r="A5" s="2" t="inlineStr">
        <is>
          <t>Frequency</t>
        </is>
      </c>
      <c r="B5" s="2" t="inlineStr">
        <is>
          <t>Monthly</t>
        </is>
      </c>
      <c r="C5" s="2" t="n">
        <v>4</v>
      </c>
      <c r="D5" s="2" t="inlineStr">
        <is>
          <t>Monthly</t>
        </is>
      </c>
      <c r="E5" s="2" t="inlineStr">
        <is>
          <t>Prospect scoring</t>
        </is>
      </c>
    </row>
    <row r="6">
      <c r="A6" s="2" t="inlineStr">
        <is>
          <t>Frequency</t>
        </is>
      </c>
      <c r="B6" s="2" t="inlineStr">
        <is>
          <t>Quarterly</t>
        </is>
      </c>
      <c r="C6" s="2" t="n">
        <v>2</v>
      </c>
      <c r="D6" s="2" t="inlineStr">
        <is>
          <t>Quarterly</t>
        </is>
      </c>
      <c r="E6" s="2" t="inlineStr">
        <is>
          <t>Prospect scoring</t>
        </is>
      </c>
    </row>
    <row r="7">
      <c r="A7" s="2" t="inlineStr">
        <is>
          <t>Frequency</t>
        </is>
      </c>
      <c r="B7" s="2" t="inlineStr">
        <is>
          <t>Occasional</t>
        </is>
      </c>
      <c r="C7" s="2" t="n">
        <v>1</v>
      </c>
      <c r="D7" s="2" t="inlineStr">
        <is>
          <t>Occasional</t>
        </is>
      </c>
      <c r="E7" s="2" t="inlineStr">
        <is>
          <t>Prospect scoring</t>
        </is>
      </c>
    </row>
    <row r="8">
      <c r="A8" s="2" t="inlineStr">
        <is>
          <t>Frequency</t>
        </is>
      </c>
      <c r="B8" s="2" t="inlineStr">
        <is>
          <t>Never</t>
        </is>
      </c>
      <c r="C8" s="2" t="n">
        <v>0</v>
      </c>
      <c r="D8" s="2" t="inlineStr">
        <is>
          <t>No current behaviour</t>
        </is>
      </c>
      <c r="E8" s="2" t="inlineStr">
        <is>
          <t>Prospect scoring</t>
        </is>
      </c>
    </row>
  </sheetData>
  <autoFilter ref="A1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2026-09-08T18:28:02Z</dcterms:created>
  <dcterms:modified xmlns:dcterms="http://purl.org/dc/terms/" xmlns:xsi="http://www.w3.org/2001/XMLSchema-instance" xsi:type="dcterms:W3CDTF">2026-09-08T18:28:02Z</dcterms:modified>
</cp:coreProperties>
</file>